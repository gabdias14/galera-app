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Bootstrap" sheetId="3" state="visible" r:id="rId5"/>
    <sheet name="Investidor" sheetId="4" state="visible" r:id="rId6"/>
    <sheet name="Cap Table" sheetId="5" state="visible" r:id="rId7"/>
    <sheet name="Comparaçã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<sst xmlns="http://schemas.openxmlformats.org/spreadsheetml/2006/main" count="144" uniqueCount="111">
  <si>
    <t xml:space="preserve">Galera — Modelo financeiro (dois cenários: bootstrap e captação)</t>
  </si>
  <si>
    <t xml:space="preserve">Este arquivo acompanha docs/business-plan.md, docs/startup/estrutura-juridica.md e docs/startup/captacao.md. Os números de preço, churn e custo fixo vêm direto da seção 7 e 8 do business-plan.md — quando um valor mudar lá, atualize aqui na aba Premissas.</t>
  </si>
  <si>
    <t xml:space="preserve">Abas</t>
  </si>
  <si>
    <t xml:space="preserve">Premissas</t>
  </si>
  <si>
    <t xml:space="preserve">Os números compartilhados pelos dois cenários — preço, churn, custo. Mude aqui, os dois cenários recalculam.</t>
  </si>
  <si>
    <t xml:space="preserve">Bootstrap</t>
  </si>
  <si>
    <t xml:space="preserve">Crescimento só com receita própria: fundador solo, sem aporte externo, ritmo de vendas mais lento.</t>
  </si>
  <si>
    <t xml:space="preserve">Investidor</t>
  </si>
  <si>
    <t xml:space="preserve">Mesmo modelo, com um aporte de capital (mútuo conversível) que paga uma contratação comercial e acelera o ritmo de novos clientes.</t>
  </si>
  <si>
    <t xml:space="preserve">Cap Table</t>
  </si>
  <si>
    <t xml:space="preserve">O que o aporte do cenário Investidor vira em % da empresa, dado um valuation cap, desconto e o valuation da rodada seguinte — mexa nesses três números pra testar cenários.</t>
  </si>
  <si>
    <t xml:space="preserve">Comparação</t>
  </si>
  <si>
    <t xml:space="preserve">Os dois cenários lado a lado nos meses 12 e 18.</t>
  </si>
  <si>
    <t xml:space="preserve">Código de cores</t>
  </si>
  <si>
    <t xml:space="preserve">Azul sobre fundo amarelo</t>
  </si>
  <si>
    <t xml:space="preserve">Premissa editável — mude aqui pra testar outro cenário.</t>
  </si>
  <si>
    <t xml:space="preserve">Preto</t>
  </si>
  <si>
    <t xml:space="preserve">Fórmula — não mude direto, ela recalcula sozinha a partir das premissas.</t>
  </si>
  <si>
    <t xml:space="preserve">Verde</t>
  </si>
  <si>
    <t xml:space="preserve">Link pra outra aba (ex.: Comparação puxando de Bootstrap/Investidor).</t>
  </si>
  <si>
    <t xml:space="preserve">Como as suposições foram calibradas</t>
  </si>
  <si>
    <t xml:space="preserve">Novos clientes pagantes/mês</t>
  </si>
  <si>
    <t xml:space="preserve">Rampa manual (não é fórmula) calibrada pra pousar perto do cenário 'base' do business-plan.md (~25 contas no mês 12) no Bootstrap, e acima disso no Investidor por causa da contratação comercial. Mude a rampa livremente — é suposição, não medição.</t>
  </si>
  <si>
    <t xml:space="preserve">Churn mensal 6%</t>
  </si>
  <si>
    <t xml:space="preserve">business-plan.md, seção 7 — 'alto de propósito, porque produtora pequena é sazonal'.</t>
  </si>
  <si>
    <t xml:space="preserve">Preço Pro Coletivo R$ 129/mês</t>
  </si>
  <si>
    <t xml:space="preserve">business-plan.md, seção 6.</t>
  </si>
  <si>
    <t xml:space="preserve">Custo fixo R$ 215/mês</t>
  </si>
  <si>
    <t xml:space="preserve">business-plan.md, seção 7 (Supabase + Apple Developer + domínio).</t>
  </si>
  <si>
    <t xml:space="preserve">Mensagens de campanha e preço/custo por mensagem</t>
  </si>
  <si>
    <t xml:space="preserve">business-plan.md, seção 7 — a conta de 200 convites por campanha, R$ 0,49 cobrado vs. R$ 0,35 de custo Meta.</t>
  </si>
  <si>
    <t xml:space="preserve">Premissas compartilhadas</t>
  </si>
  <si>
    <t xml:space="preserve">Preço Pro Coletivo (assinatura mensal, R$)</t>
  </si>
  <si>
    <t xml:space="preserve">business-plan.md §6</t>
  </si>
  <si>
    <t xml:space="preserve">Mensagens de campanha por conta/mês</t>
  </si>
  <si>
    <t xml:space="preserve">business-plan.md §7 — conta de 200 convites por campanha</t>
  </si>
  <si>
    <t xml:space="preserve">Preço cobrado por mensagem (R$)</t>
  </si>
  <si>
    <t xml:space="preserve">Custo Meta por mensagem (R$)</t>
  </si>
  <si>
    <t xml:space="preserve">Custo marginal de servir por conta/mês (R$, infra)</t>
  </si>
  <si>
    <t xml:space="preserve">business-plan.md §7</t>
  </si>
  <si>
    <t xml:space="preserve">Custo fixo mensal da operação (R$)</t>
  </si>
  <si>
    <t xml:space="preserve">business-plan.md §7 — Supabase + Apple Developer + domínio</t>
  </si>
  <si>
    <t xml:space="preserve">Churn mensal</t>
  </si>
  <si>
    <t xml:space="preserve">business-plan.md §7 — suposição de trabalho</t>
  </si>
  <si>
    <t xml:space="preserve">Capital inicial em caixa no mês 1 (R$)</t>
  </si>
  <si>
    <t xml:space="preserve">capital social de abertura da SLU — docs/startup/estrutura-juridica.md</t>
  </si>
  <si>
    <t xml:space="preserve">Galera — Cenário Bootstrap</t>
  </si>
  <si>
    <t xml:space="preserve">Mês</t>
  </si>
  <si>
    <t xml:space="preserve">Novos clientes pagantes no mês</t>
  </si>
  <si>
    <t xml:space="preserve">premissa — mude a rampa livremente</t>
  </si>
  <si>
    <t xml:space="preserve">Clientes ativos (fim do mês)</t>
  </si>
  <si>
    <t xml:space="preserve">fórmula: anterior × (1 − churn) + novos</t>
  </si>
  <si>
    <t xml:space="preserve">Receita — assinatura (R$)</t>
  </si>
  <si>
    <t xml:space="preserve">fórmula: clientes ativos × preço Pro Coletivo</t>
  </si>
  <si>
    <t xml:space="preserve">Receita — mensagens de campanha (R$)</t>
  </si>
  <si>
    <t xml:space="preserve">fórmula: clientes × mensagens/mês × preço/mensagem</t>
  </si>
  <si>
    <t xml:space="preserve">Receita total (R$)</t>
  </si>
  <si>
    <t xml:space="preserve">Custo — mensagens (Meta, R$)</t>
  </si>
  <si>
    <t xml:space="preserve">fórmula: clientes × mensagens/mês × custo/mensagem</t>
  </si>
  <si>
    <t xml:space="preserve">Custo — marginal de servir (infra, R$)</t>
  </si>
  <si>
    <t xml:space="preserve">fórmula: clientes × custo marginal/conta</t>
  </si>
  <si>
    <t xml:space="preserve">Custo — fixo da operação (R$)</t>
  </si>
  <si>
    <t xml:space="preserve">link Premissas</t>
  </si>
  <si>
    <t xml:space="preserve">Custo — pró-labore do(s) fundador(es) (R$)</t>
  </si>
  <si>
    <t xml:space="preserve">premissa — mude a rampa</t>
  </si>
  <si>
    <t xml:space="preserve">Custo — salário comercial contratado (R$)</t>
  </si>
  <si>
    <t xml:space="preserve">premissa — 0 antes da contratação</t>
  </si>
  <si>
    <t xml:space="preserve">Custos totais (R$)</t>
  </si>
  <si>
    <t xml:space="preserve">Resultado mensal (R$)</t>
  </si>
  <si>
    <t xml:space="preserve">fórmula: receita total − custos totais</t>
  </si>
  <si>
    <t xml:space="preserve">Aporte de investidor no mês (R$)</t>
  </si>
  <si>
    <t xml:space="preserve">0 — cenário sem captação</t>
  </si>
  <si>
    <t xml:space="preserve">Caixa acumulado (R$)</t>
  </si>
  <si>
    <t xml:space="preserve">fórmula: caixa anterior + resultado + aporte</t>
  </si>
  <si>
    <t xml:space="preserve">Caixa ficou negativo? (1 = sim)</t>
  </si>
  <si>
    <t xml:space="preserve">auxiliar pro cálculo de runway</t>
  </si>
  <si>
    <t xml:space="preserve">Runway (primeiro mês com caixa negativo)</t>
  </si>
  <si>
    <t xml:space="preserve">Galera — Cenário Investidor</t>
  </si>
  <si>
    <t xml:space="preserve">aporte de R$ 200 mil no mês 1 — ver aba Cap Table</t>
  </si>
  <si>
    <t xml:space="preserve">Cap Table — conversão do mútuo conversível</t>
  </si>
  <si>
    <t xml:space="preserve">Ver docs/startup/captacao.md para o significado de cada termo.</t>
  </si>
  <si>
    <t xml:space="preserve">Aporte do investidor (R$)</t>
  </si>
  <si>
    <t xml:space="preserve">Link — soma da linha 'Aporte de investidor no mês' da aba Investidor</t>
  </si>
  <si>
    <t xml:space="preserve">Valuation cap (R$)</t>
  </si>
  <si>
    <t xml:space="preserve">Premissa — docs/startup/captacao.md, faixa comum R$ 3-8 milhões em pré-seed BR</t>
  </si>
  <si>
    <t xml:space="preserve">Desconto de conversão</t>
  </si>
  <si>
    <t xml:space="preserve">Premissa — faixa comum 15-25%</t>
  </si>
  <si>
    <t xml:space="preserve">Valuation da rodada seguinte (R$)</t>
  </si>
  <si>
    <t xml:space="preserve">Premissa de teste — mude pra ver o efeito no % do investidor</t>
  </si>
  <si>
    <t xml:space="preserve">Valuation efetivo de conversão (R$)</t>
  </si>
  <si>
    <t xml:space="preserve">fórmula: mínimo(valuation cap; valuation da rodada seguinte × (1 − desconto))</t>
  </si>
  <si>
    <t xml:space="preserve">% do investidor pós-conversão</t>
  </si>
  <si>
    <t xml:space="preserve">% do fundador pós-conversão</t>
  </si>
  <si>
    <t xml:space="preserve">Cap table</t>
  </si>
  <si>
    <t xml:space="preserve">Quotista</t>
  </si>
  <si>
    <t xml:space="preserve">% antes do aporte</t>
  </si>
  <si>
    <t xml:space="preserve">% depois da conversão</t>
  </si>
  <si>
    <t xml:space="preserve">Fundador</t>
  </si>
  <si>
    <t xml:space="preserve">Investidor-anjo</t>
  </si>
  <si>
    <t xml:space="preserve">Comparação — Bootstrap vs. Investidor</t>
  </si>
  <si>
    <t xml:space="preserve">Métrica</t>
  </si>
  <si>
    <t xml:space="preserve">Clientes ativos — mês 12</t>
  </si>
  <si>
    <t xml:space="preserve">Clientes ativos — mês 18</t>
  </si>
  <si>
    <t xml:space="preserve">Receita total — mês 12 (R$)</t>
  </si>
  <si>
    <t xml:space="preserve">Receita total — mês 18 (R$)</t>
  </si>
  <si>
    <t xml:space="preserve">Resultado mensal — mês 18 (R$)</t>
  </si>
  <si>
    <t xml:space="preserve">Caixa acumulado — mês 12 (R$)</t>
  </si>
  <si>
    <t xml:space="preserve">Caixa acumulado — mês 18 (R$)</t>
  </si>
  <si>
    <t xml:space="preserve">Runway</t>
  </si>
  <si>
    <t xml:space="preserve">Leitura: o cenário Investidor mostra mais clientes e mais receita porque o aporte paga uma contratação comercial (aba Investidor, linha 'salário comercial') a partir do mês 4 — o capital não é pra sobreviver, é pra acelerar o que o fundador sozinho não consegue vender ao mesmo tempo que constrói o produto (ver docs/startup/captacao.md, seção 1).</t>
  </si>
  <si>
    <t xml:space="preserve">Atenção ao ler 'Caixa acumulado' negativo no Bootstrap: não é a empresa quebrando, é o tamanho do aporte pessoal que o fundador precisa bancar do próprio bolso pra sustentar o pró-labore enquanto a receita ainda não cobre tudo — é exatamente o número que decide se o cenário bootstrap é viável na prática, ou se o pró-labore da aba Bootstrap (linha 15) precisa ficar mais baixo por mais tempo.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</si>
</sst>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0.0%"/>
    <numFmt numFmtId="167" formatCode="#,##0"/>
    <numFmt numFmtId="168" formatCode="#,##0;\(#,##0\);\-"/>
    <numFmt numFmtId="169" formatCode="0"/>
    <numFmt numFmtId="170" formatCode="0%"/>
    <numFmt numFmtId="171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EAF1DD"/>
      </patternFill>
    </fill>
    <fill>
      <patternFill patternType="solid">
        <fgColor rgb="FFF2F2F2"/>
        <bgColor rgb="FFEAF1DD"/>
      </patternFill>
    </fill>
    <fill>
      <patternFill patternType="solid">
        <fgColor rgb="FFEAF1D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1D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</row>
    <row r="5" customFormat="false" ht="15" hidden="false" customHeight="false" outlineLevel="0" collapsed="false">
      <c r="A5" s="3"/>
      <c r="B5" s="4"/>
    </row>
    <row r="6" customFormat="false" ht="15" hidden="false" customHeight="false" outlineLevel="0" collapsed="false">
      <c r="A6" s="5" t="s">
        <v>2</v>
      </c>
      <c r="B6" s="4"/>
    </row>
    <row r="7" customFormat="false" ht="15" hidden="false" customHeight="false" outlineLevel="0" collapsed="false">
      <c r="A7" s="3" t="s">
        <v>3</v>
      </c>
      <c r="B7" s="4" t="s">
        <v>4</v>
      </c>
    </row>
    <row r="8" customFormat="false" ht="15" hidden="false" customHeight="false" outlineLevel="0" collapsed="false">
      <c r="A8" s="3" t="s">
        <v>5</v>
      </c>
      <c r="B8" s="4" t="s">
        <v>6</v>
      </c>
    </row>
    <row r="9" customFormat="false" ht="15" hidden="false" customHeight="false" outlineLevel="0" collapsed="false">
      <c r="A9" s="3" t="s">
        <v>7</v>
      </c>
      <c r="B9" s="4" t="s">
        <v>8</v>
      </c>
    </row>
    <row r="10" customFormat="false" ht="23.85" hidden="false" customHeight="false" outlineLevel="0" collapsed="false">
      <c r="A10" s="3" t="s">
        <v>9</v>
      </c>
      <c r="B10" s="4" t="s">
        <v>10</v>
      </c>
    </row>
    <row r="11" customFormat="false" ht="15" hidden="false" customHeight="false" outlineLevel="0" collapsed="false">
      <c r="A11" s="3" t="s">
        <v>11</v>
      </c>
      <c r="B11" s="4" t="s">
        <v>12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5" t="s">
        <v>13</v>
      </c>
      <c r="B13" s="4"/>
    </row>
    <row r="14" customFormat="false" ht="15" hidden="false" customHeight="false" outlineLevel="0" collapsed="false">
      <c r="A14" s="3" t="s">
        <v>14</v>
      </c>
      <c r="B14" s="4" t="s">
        <v>15</v>
      </c>
    </row>
    <row r="15" customFormat="false" ht="15" hidden="false" customHeight="false" outlineLevel="0" collapsed="false">
      <c r="A15" s="3" t="s">
        <v>16</v>
      </c>
      <c r="B15" s="4" t="s">
        <v>17</v>
      </c>
    </row>
    <row r="16" customFormat="false" ht="15" hidden="false" customHeight="false" outlineLevel="0" collapsed="false">
      <c r="A16" s="3" t="s">
        <v>18</v>
      </c>
      <c r="B16" s="4" t="s">
        <v>19</v>
      </c>
    </row>
    <row r="17" customFormat="false" ht="15" hidden="false" customHeight="false" outlineLevel="0" collapsed="false">
      <c r="A17" s="3"/>
      <c r="B17" s="4"/>
    </row>
    <row r="18" customFormat="false" ht="15" hidden="false" customHeight="false" outlineLevel="0" collapsed="false">
      <c r="A18" s="5" t="s">
        <v>20</v>
      </c>
      <c r="B18" s="4"/>
    </row>
    <row r="19" customFormat="false" ht="23.85" hidden="false" customHeight="false" outlineLevel="0" collapsed="false">
      <c r="A19" s="3" t="s">
        <v>21</v>
      </c>
      <c r="B19" s="4" t="s">
        <v>22</v>
      </c>
    </row>
    <row r="20" customFormat="false" ht="15" hidden="false" customHeight="false" outlineLevel="0" collapsed="false">
      <c r="A20" s="3" t="s">
        <v>23</v>
      </c>
      <c r="B20" s="4" t="s">
        <v>24</v>
      </c>
    </row>
    <row r="21" customFormat="false" ht="15" hidden="false" customHeight="false" outlineLevel="0" collapsed="false">
      <c r="A21" s="3" t="s">
        <v>25</v>
      </c>
      <c r="B21" s="4" t="s">
        <v>26</v>
      </c>
    </row>
    <row r="22" customFormat="false" ht="15" hidden="false" customHeight="false" outlineLevel="0" collapsed="false">
      <c r="A22" s="3" t="s">
        <v>27</v>
      </c>
      <c r="B22" s="4" t="s">
        <v>28</v>
      </c>
    </row>
    <row r="23" customFormat="false" ht="15" hidden="false" customHeight="false" outlineLevel="0" collapsed="false">
      <c r="A23" s="3" t="s">
        <v>29</v>
      </c>
      <c r="B23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31</v>
      </c>
    </row>
    <row r="3" customFormat="false" ht="15" hidden="false" customHeight="false" outlineLevel="0" collapsed="false">
      <c r="A3" s="6" t="s">
        <v>32</v>
      </c>
      <c r="B3" s="7" t="n">
        <v>129</v>
      </c>
      <c r="C3" s="8" t="s">
        <v>33</v>
      </c>
    </row>
    <row r="4" customFormat="false" ht="15" hidden="false" customHeight="false" outlineLevel="0" collapsed="false">
      <c r="A4" s="6" t="s">
        <v>34</v>
      </c>
      <c r="B4" s="7" t="n">
        <v>200</v>
      </c>
      <c r="C4" s="8" t="s">
        <v>35</v>
      </c>
    </row>
    <row r="5" customFormat="false" ht="15" hidden="false" customHeight="false" outlineLevel="0" collapsed="false">
      <c r="A5" s="6" t="s">
        <v>36</v>
      </c>
      <c r="B5" s="7" t="n">
        <v>0.49</v>
      </c>
      <c r="C5" s="8" t="s">
        <v>33</v>
      </c>
    </row>
    <row r="6" customFormat="false" ht="15" hidden="false" customHeight="false" outlineLevel="0" collapsed="false">
      <c r="A6" s="6" t="s">
        <v>37</v>
      </c>
      <c r="B6" s="7" t="n">
        <v>0.35</v>
      </c>
      <c r="C6" s="8" t="s">
        <v>33</v>
      </c>
    </row>
    <row r="7" customFormat="false" ht="15" hidden="false" customHeight="false" outlineLevel="0" collapsed="false">
      <c r="A7" s="6" t="s">
        <v>38</v>
      </c>
      <c r="B7" s="7" t="n">
        <v>15</v>
      </c>
      <c r="C7" s="8" t="s">
        <v>39</v>
      </c>
    </row>
    <row r="8" customFormat="false" ht="15" hidden="false" customHeight="false" outlineLevel="0" collapsed="false">
      <c r="A8" s="6" t="s">
        <v>40</v>
      </c>
      <c r="B8" s="7" t="n">
        <v>215</v>
      </c>
      <c r="C8" s="8" t="s">
        <v>41</v>
      </c>
    </row>
    <row r="9" customFormat="false" ht="15" hidden="false" customHeight="false" outlineLevel="0" collapsed="false">
      <c r="A9" s="6" t="s">
        <v>42</v>
      </c>
      <c r="B9" s="9" t="n">
        <v>0.06</v>
      </c>
      <c r="C9" s="8" t="s">
        <v>43</v>
      </c>
    </row>
    <row r="10" customFormat="false" ht="15" hidden="false" customHeight="false" outlineLevel="0" collapsed="false">
      <c r="A10" s="6" t="s">
        <v>44</v>
      </c>
      <c r="B10" s="7" t="n">
        <v>5000</v>
      </c>
      <c r="C10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"/>
    <col collapsed="false" customWidth="true" hidden="false" outlineLevel="0" max="20" min="3" style="0" width="10"/>
  </cols>
  <sheetData>
    <row r="1" customFormat="false" ht="17.35" hidden="false" customHeight="false" outlineLevel="0" collapsed="false">
      <c r="A1" s="1" t="s">
        <v>46</v>
      </c>
    </row>
    <row r="3" customFormat="false" ht="15" hidden="false" customHeight="false" outlineLevel="0" collapsed="false">
      <c r="A3" s="10" t="s">
        <v>47</v>
      </c>
      <c r="C3" s="11" t="n">
        <v>1</v>
      </c>
      <c r="D3" s="11" t="n">
        <v>2</v>
      </c>
      <c r="E3" s="11" t="n">
        <v>3</v>
      </c>
      <c r="F3" s="11" t="n">
        <v>4</v>
      </c>
      <c r="G3" s="11" t="n">
        <v>5</v>
      </c>
      <c r="H3" s="11" t="n">
        <v>6</v>
      </c>
      <c r="I3" s="11" t="n">
        <v>7</v>
      </c>
      <c r="J3" s="11" t="n">
        <v>8</v>
      </c>
      <c r="K3" s="11" t="n">
        <v>9</v>
      </c>
      <c r="L3" s="11" t="n">
        <v>10</v>
      </c>
      <c r="M3" s="11" t="n">
        <v>11</v>
      </c>
      <c r="N3" s="11" t="n">
        <v>12</v>
      </c>
      <c r="O3" s="11" t="n">
        <v>13</v>
      </c>
      <c r="P3" s="11" t="n">
        <v>14</v>
      </c>
      <c r="Q3" s="11" t="n">
        <v>15</v>
      </c>
      <c r="R3" s="11" t="n">
        <v>16</v>
      </c>
      <c r="S3" s="11" t="n">
        <v>17</v>
      </c>
      <c r="T3" s="11" t="n">
        <v>18</v>
      </c>
    </row>
    <row r="5" customFormat="false" ht="15" hidden="false" customHeight="false" outlineLevel="0" collapsed="false">
      <c r="A5" s="12" t="s">
        <v>48</v>
      </c>
      <c r="B5" s="8" t="s">
        <v>49</v>
      </c>
      <c r="C5" s="13" t="n">
        <v>0</v>
      </c>
      <c r="D5" s="13" t="n">
        <v>0</v>
      </c>
      <c r="E5" s="13" t="n">
        <v>1</v>
      </c>
      <c r="F5" s="13" t="n">
        <v>2</v>
      </c>
      <c r="G5" s="13" t="n">
        <v>1</v>
      </c>
      <c r="H5" s="13" t="n">
        <v>2</v>
      </c>
      <c r="I5" s="13" t="n">
        <v>2</v>
      </c>
      <c r="J5" s="13" t="n">
        <v>2</v>
      </c>
      <c r="K5" s="13" t="n">
        <v>3</v>
      </c>
      <c r="L5" s="13" t="n">
        <v>3</v>
      </c>
      <c r="M5" s="13" t="n">
        <v>3</v>
      </c>
      <c r="N5" s="13" t="n">
        <v>3</v>
      </c>
      <c r="O5" s="13" t="n">
        <v>3</v>
      </c>
      <c r="P5" s="13" t="n">
        <v>3</v>
      </c>
      <c r="Q5" s="13" t="n">
        <v>4</v>
      </c>
      <c r="R5" s="13" t="n">
        <v>4</v>
      </c>
      <c r="S5" s="13" t="n">
        <v>4</v>
      </c>
      <c r="T5" s="13" t="n">
        <v>4</v>
      </c>
    </row>
    <row r="6" customFormat="false" ht="15" hidden="false" customHeight="false" outlineLevel="0" collapsed="false">
      <c r="A6" s="12" t="s">
        <v>50</v>
      </c>
      <c r="B6" s="8" t="s">
        <v>51</v>
      </c>
      <c r="C6" s="14" t="n">
        <f aca="false">C5</f>
        <v>0</v>
      </c>
      <c r="D6" s="14" t="n">
        <f aca="false">C6*(1-Premissas!$B$9)+D5</f>
        <v>0</v>
      </c>
      <c r="E6" s="14" t="n">
        <f aca="false">D6*(1-Premissas!$B$9)+E5</f>
        <v>1</v>
      </c>
      <c r="F6" s="14" t="n">
        <f aca="false">E6*(1-Premissas!$B$9)+F5</f>
        <v>2.94</v>
      </c>
      <c r="G6" s="14" t="n">
        <f aca="false">F6*(1-Premissas!$B$9)+G5</f>
        <v>3.7636</v>
      </c>
      <c r="H6" s="14" t="n">
        <f aca="false">G6*(1-Premissas!$B$9)+H5</f>
        <v>5.537784</v>
      </c>
      <c r="I6" s="14" t="n">
        <f aca="false">H6*(1-Premissas!$B$9)+I5</f>
        <v>7.20551696</v>
      </c>
      <c r="J6" s="14" t="n">
        <f aca="false">I6*(1-Premissas!$B$9)+J5</f>
        <v>8.7731859424</v>
      </c>
      <c r="K6" s="14" t="n">
        <f aca="false">J6*(1-Premissas!$B$9)+K5</f>
        <v>11.246794785856</v>
      </c>
      <c r="L6" s="14" t="n">
        <f aca="false">K6*(1-Premissas!$B$9)+L5</f>
        <v>13.5719870987046</v>
      </c>
      <c r="M6" s="14" t="n">
        <f aca="false">L6*(1-Premissas!$B$9)+M5</f>
        <v>15.7576678727824</v>
      </c>
      <c r="N6" s="14" t="n">
        <f aca="false">M6*(1-Premissas!$B$9)+N5</f>
        <v>17.8122078004154</v>
      </c>
      <c r="O6" s="14" t="n">
        <f aca="false">N6*(1-Premissas!$B$9)+O5</f>
        <v>19.7434753323905</v>
      </c>
      <c r="P6" s="14" t="n">
        <f aca="false">O6*(1-Premissas!$B$9)+P5</f>
        <v>21.5588668124471</v>
      </c>
      <c r="Q6" s="14" t="n">
        <f aca="false">P6*(1-Premissas!$B$9)+Q5</f>
        <v>24.2653348037002</v>
      </c>
      <c r="R6" s="14" t="n">
        <f aca="false">Q6*(1-Premissas!$B$9)+R5</f>
        <v>26.8094147154782</v>
      </c>
      <c r="S6" s="14" t="n">
        <f aca="false">R6*(1-Premissas!$B$9)+S5</f>
        <v>29.2008498325495</v>
      </c>
      <c r="T6" s="14" t="n">
        <f aca="false">S6*(1-Premissas!$B$9)+T5</f>
        <v>31.4487988425966</v>
      </c>
    </row>
    <row r="8" customFormat="false" ht="15" hidden="false" customHeight="false" outlineLevel="0" collapsed="false">
      <c r="A8" s="12" t="s">
        <v>52</v>
      </c>
      <c r="B8" s="8" t="s">
        <v>53</v>
      </c>
      <c r="C8" s="15" t="n">
        <f aca="false">C6*Premissas!$B$3</f>
        <v>0</v>
      </c>
      <c r="D8" s="15" t="n">
        <f aca="false">D6*Premissas!$B$3</f>
        <v>0</v>
      </c>
      <c r="E8" s="15" t="n">
        <f aca="false">E6*Premissas!$B$3</f>
        <v>129</v>
      </c>
      <c r="F8" s="15" t="n">
        <f aca="false">F6*Premissas!$B$3</f>
        <v>379.26</v>
      </c>
      <c r="G8" s="15" t="n">
        <f aca="false">G6*Premissas!$B$3</f>
        <v>485.5044</v>
      </c>
      <c r="H8" s="15" t="n">
        <f aca="false">H6*Premissas!$B$3</f>
        <v>714.374136</v>
      </c>
      <c r="I8" s="15" t="n">
        <f aca="false">I6*Premissas!$B$3</f>
        <v>929.51168784</v>
      </c>
      <c r="J8" s="15" t="n">
        <f aca="false">J6*Premissas!$B$3</f>
        <v>1131.7409865696</v>
      </c>
      <c r="K8" s="15" t="n">
        <f aca="false">K6*Premissas!$B$3</f>
        <v>1450.83652737542</v>
      </c>
      <c r="L8" s="15" t="n">
        <f aca="false">L6*Premissas!$B$3</f>
        <v>1750.7863357329</v>
      </c>
      <c r="M8" s="15" t="n">
        <f aca="false">M6*Premissas!$B$3</f>
        <v>2032.73915558892</v>
      </c>
      <c r="N8" s="15" t="n">
        <f aca="false">N6*Premissas!$B$3</f>
        <v>2297.77480625359</v>
      </c>
      <c r="O8" s="15" t="n">
        <f aca="false">O6*Premissas!$B$3</f>
        <v>2546.90831787837</v>
      </c>
      <c r="P8" s="15" t="n">
        <f aca="false">P6*Premissas!$B$3</f>
        <v>2781.09381880567</v>
      </c>
      <c r="Q8" s="15" t="n">
        <f aca="false">Q6*Premissas!$B$3</f>
        <v>3130.22818967733</v>
      </c>
      <c r="R8" s="15" t="n">
        <f aca="false">R6*Premissas!$B$3</f>
        <v>3458.41449829669</v>
      </c>
      <c r="S8" s="15" t="n">
        <f aca="false">S6*Premissas!$B$3</f>
        <v>3766.90962839889</v>
      </c>
      <c r="T8" s="15" t="n">
        <f aca="false">T6*Premissas!$B$3</f>
        <v>4056.89505069496</v>
      </c>
    </row>
    <row r="9" customFormat="false" ht="15" hidden="false" customHeight="false" outlineLevel="0" collapsed="false">
      <c r="A9" s="12" t="s">
        <v>54</v>
      </c>
      <c r="B9" s="8" t="s">
        <v>55</v>
      </c>
      <c r="C9" s="15" t="n">
        <f aca="false">C6*Premissas!$B$4*Premissas!$B$5</f>
        <v>0</v>
      </c>
      <c r="D9" s="15" t="n">
        <f aca="false">D6*Premissas!$B$4*Premissas!$B$5</f>
        <v>0</v>
      </c>
      <c r="E9" s="15" t="n">
        <f aca="false">E6*Premissas!$B$4*Premissas!$B$5</f>
        <v>98</v>
      </c>
      <c r="F9" s="15" t="n">
        <f aca="false">F6*Premissas!$B$4*Premissas!$B$5</f>
        <v>288.12</v>
      </c>
      <c r="G9" s="15" t="n">
        <f aca="false">G6*Premissas!$B$4*Premissas!$B$5</f>
        <v>368.8328</v>
      </c>
      <c r="H9" s="15" t="n">
        <f aca="false">H6*Premissas!$B$4*Premissas!$B$5</f>
        <v>542.702832</v>
      </c>
      <c r="I9" s="15" t="n">
        <f aca="false">I6*Premissas!$B$4*Premissas!$B$5</f>
        <v>706.14066208</v>
      </c>
      <c r="J9" s="15" t="n">
        <f aca="false">J6*Premissas!$B$4*Premissas!$B$5</f>
        <v>859.7722223552</v>
      </c>
      <c r="K9" s="15" t="n">
        <f aca="false">K6*Premissas!$B$4*Premissas!$B$5</f>
        <v>1102.18588901389</v>
      </c>
      <c r="L9" s="15" t="n">
        <f aca="false">L6*Premissas!$B$4*Premissas!$B$5</f>
        <v>1330.05473567305</v>
      </c>
      <c r="M9" s="15" t="n">
        <f aca="false">M6*Premissas!$B$4*Premissas!$B$5</f>
        <v>1544.25145153267</v>
      </c>
      <c r="N9" s="15" t="n">
        <f aca="false">N6*Premissas!$B$4*Premissas!$B$5</f>
        <v>1745.59636444071</v>
      </c>
      <c r="O9" s="15" t="n">
        <f aca="false">O6*Premissas!$B$4*Premissas!$B$5</f>
        <v>1934.86058257427</v>
      </c>
      <c r="P9" s="15" t="n">
        <f aca="false">P6*Premissas!$B$4*Premissas!$B$5</f>
        <v>2112.76894761981</v>
      </c>
      <c r="Q9" s="15" t="n">
        <f aca="false">Q6*Premissas!$B$4*Premissas!$B$5</f>
        <v>2378.00281076262</v>
      </c>
      <c r="R9" s="15" t="n">
        <f aca="false">R6*Premissas!$B$4*Premissas!$B$5</f>
        <v>2627.32264211687</v>
      </c>
      <c r="S9" s="15" t="n">
        <f aca="false">S6*Premissas!$B$4*Premissas!$B$5</f>
        <v>2861.68328358985</v>
      </c>
      <c r="T9" s="15" t="n">
        <f aca="false">T6*Premissas!$B$4*Premissas!$B$5</f>
        <v>3081.98228657446</v>
      </c>
    </row>
    <row r="10" customFormat="false" ht="15" hidden="false" customHeight="false" outlineLevel="0" collapsed="false">
      <c r="A10" s="16" t="s">
        <v>56</v>
      </c>
      <c r="C10" s="14" t="n">
        <f aca="false">C8+C9</f>
        <v>0</v>
      </c>
      <c r="D10" s="14" t="n">
        <f aca="false">D8+D9</f>
        <v>0</v>
      </c>
      <c r="E10" s="14" t="n">
        <f aca="false">E8+E9</f>
        <v>227</v>
      </c>
      <c r="F10" s="14" t="n">
        <f aca="false">F8+F9</f>
        <v>667.38</v>
      </c>
      <c r="G10" s="14" t="n">
        <f aca="false">G8+G9</f>
        <v>854.3372</v>
      </c>
      <c r="H10" s="14" t="n">
        <f aca="false">H8+H9</f>
        <v>1257.076968</v>
      </c>
      <c r="I10" s="14" t="n">
        <f aca="false">I8+I9</f>
        <v>1635.65234992</v>
      </c>
      <c r="J10" s="14" t="n">
        <f aca="false">J8+J9</f>
        <v>1991.5132089248</v>
      </c>
      <c r="K10" s="14" t="n">
        <f aca="false">K8+K9</f>
        <v>2553.02241638931</v>
      </c>
      <c r="L10" s="14" t="n">
        <f aca="false">L8+L9</f>
        <v>3080.84107140595</v>
      </c>
      <c r="M10" s="14" t="n">
        <f aca="false">M8+M9</f>
        <v>3576.9906071216</v>
      </c>
      <c r="N10" s="14" t="n">
        <f aca="false">N8+N9</f>
        <v>4043.3711706943</v>
      </c>
      <c r="O10" s="14" t="n">
        <f aca="false">O8+O9</f>
        <v>4481.76890045264</v>
      </c>
      <c r="P10" s="14" t="n">
        <f aca="false">P8+P9</f>
        <v>4893.86276642548</v>
      </c>
      <c r="Q10" s="14" t="n">
        <f aca="false">Q8+Q9</f>
        <v>5508.23100043995</v>
      </c>
      <c r="R10" s="14" t="n">
        <f aca="false">R8+R9</f>
        <v>6085.73714041356</v>
      </c>
      <c r="S10" s="14" t="n">
        <f aca="false">S8+S9</f>
        <v>6628.59291198874</v>
      </c>
      <c r="T10" s="14" t="n">
        <f aca="false">T8+T9</f>
        <v>7138.87733726942</v>
      </c>
    </row>
    <row r="12" customFormat="false" ht="15" hidden="false" customHeight="false" outlineLevel="0" collapsed="false">
      <c r="A12" s="12" t="s">
        <v>57</v>
      </c>
      <c r="B12" s="8" t="s">
        <v>58</v>
      </c>
      <c r="C12" s="15" t="n">
        <f aca="false">C6*Premissas!$B$4*Premissas!$B$6</f>
        <v>0</v>
      </c>
      <c r="D12" s="15" t="n">
        <f aca="false">D6*Premissas!$B$4*Premissas!$B$6</f>
        <v>0</v>
      </c>
      <c r="E12" s="15" t="n">
        <f aca="false">E6*Premissas!$B$4*Premissas!$B$6</f>
        <v>70</v>
      </c>
      <c r="F12" s="15" t="n">
        <f aca="false">F6*Premissas!$B$4*Premissas!$B$6</f>
        <v>205.8</v>
      </c>
      <c r="G12" s="15" t="n">
        <f aca="false">G6*Premissas!$B$4*Premissas!$B$6</f>
        <v>263.452</v>
      </c>
      <c r="H12" s="15" t="n">
        <f aca="false">H6*Premissas!$B$4*Premissas!$B$6</f>
        <v>387.64488</v>
      </c>
      <c r="I12" s="15" t="n">
        <f aca="false">I6*Premissas!$B$4*Premissas!$B$6</f>
        <v>504.3861872</v>
      </c>
      <c r="J12" s="15" t="n">
        <f aca="false">J6*Premissas!$B$4*Premissas!$B$6</f>
        <v>614.123015968</v>
      </c>
      <c r="K12" s="15" t="n">
        <f aca="false">K6*Premissas!$B$4*Premissas!$B$6</f>
        <v>787.27563500992</v>
      </c>
      <c r="L12" s="15" t="n">
        <f aca="false">L6*Premissas!$B$4*Premissas!$B$6</f>
        <v>950.039096909325</v>
      </c>
      <c r="M12" s="15" t="n">
        <f aca="false">M6*Premissas!$B$4*Premissas!$B$6</f>
        <v>1103.03675109477</v>
      </c>
      <c r="N12" s="15" t="n">
        <f aca="false">N6*Premissas!$B$4*Premissas!$B$6</f>
        <v>1246.85454602908</v>
      </c>
      <c r="O12" s="15" t="n">
        <f aca="false">O6*Premissas!$B$4*Premissas!$B$6</f>
        <v>1382.04327326733</v>
      </c>
      <c r="P12" s="15" t="n">
        <f aca="false">P6*Premissas!$B$4*Premissas!$B$6</f>
        <v>1509.12067687129</v>
      </c>
      <c r="Q12" s="15" t="n">
        <f aca="false">Q6*Premissas!$B$4*Premissas!$B$6</f>
        <v>1698.57343625902</v>
      </c>
      <c r="R12" s="15" t="n">
        <f aca="false">R6*Premissas!$B$4*Premissas!$B$6</f>
        <v>1876.65903008347</v>
      </c>
      <c r="S12" s="15" t="n">
        <f aca="false">S6*Premissas!$B$4*Premissas!$B$6</f>
        <v>2044.05948827847</v>
      </c>
      <c r="T12" s="15" t="n">
        <f aca="false">T6*Premissas!$B$4*Premissas!$B$6</f>
        <v>2201.41591898176</v>
      </c>
    </row>
    <row r="13" customFormat="false" ht="15" hidden="false" customHeight="false" outlineLevel="0" collapsed="false">
      <c r="A13" s="12" t="s">
        <v>59</v>
      </c>
      <c r="B13" s="8" t="s">
        <v>60</v>
      </c>
      <c r="C13" s="15" t="n">
        <f aca="false">C6*Premissas!$B$7</f>
        <v>0</v>
      </c>
      <c r="D13" s="15" t="n">
        <f aca="false">D6*Premissas!$B$7</f>
        <v>0</v>
      </c>
      <c r="E13" s="15" t="n">
        <f aca="false">E6*Premissas!$B$7</f>
        <v>15</v>
      </c>
      <c r="F13" s="15" t="n">
        <f aca="false">F6*Premissas!$B$7</f>
        <v>44.1</v>
      </c>
      <c r="G13" s="15" t="n">
        <f aca="false">G6*Premissas!$B$7</f>
        <v>56.454</v>
      </c>
      <c r="H13" s="15" t="n">
        <f aca="false">H6*Premissas!$B$7</f>
        <v>83.06676</v>
      </c>
      <c r="I13" s="15" t="n">
        <f aca="false">I6*Premissas!$B$7</f>
        <v>108.0827544</v>
      </c>
      <c r="J13" s="15" t="n">
        <f aca="false">J6*Premissas!$B$7</f>
        <v>131.597789136</v>
      </c>
      <c r="K13" s="15" t="n">
        <f aca="false">K6*Premissas!$B$7</f>
        <v>168.70192178784</v>
      </c>
      <c r="L13" s="15" t="n">
        <f aca="false">L6*Premissas!$B$7</f>
        <v>203.57980648057</v>
      </c>
      <c r="M13" s="15" t="n">
        <f aca="false">M6*Premissas!$B$7</f>
        <v>236.365018091735</v>
      </c>
      <c r="N13" s="15" t="n">
        <f aca="false">N6*Premissas!$B$7</f>
        <v>267.183117006231</v>
      </c>
      <c r="O13" s="15" t="n">
        <f aca="false">O6*Premissas!$B$7</f>
        <v>296.152129985857</v>
      </c>
      <c r="P13" s="15" t="n">
        <f aca="false">P6*Premissas!$B$7</f>
        <v>323.383002186706</v>
      </c>
      <c r="Q13" s="15" t="n">
        <f aca="false">Q6*Premissas!$B$7</f>
        <v>363.980022055503</v>
      </c>
      <c r="R13" s="15" t="n">
        <f aca="false">R6*Premissas!$B$7</f>
        <v>402.141220732173</v>
      </c>
      <c r="S13" s="15" t="n">
        <f aca="false">S6*Premissas!$B$7</f>
        <v>438.012747488243</v>
      </c>
      <c r="T13" s="15" t="n">
        <f aca="false">T6*Premissas!$B$7</f>
        <v>471.731982638948</v>
      </c>
    </row>
    <row r="14" customFormat="false" ht="15" hidden="false" customHeight="false" outlineLevel="0" collapsed="false">
      <c r="A14" s="12" t="s">
        <v>61</v>
      </c>
      <c r="B14" s="8" t="s">
        <v>62</v>
      </c>
      <c r="C14" s="17" t="n">
        <f aca="false">Premissas!$B$8</f>
        <v>215</v>
      </c>
      <c r="D14" s="17" t="n">
        <f aca="false">Premissas!$B$8</f>
        <v>215</v>
      </c>
      <c r="E14" s="17" t="n">
        <f aca="false">Premissas!$B$8</f>
        <v>215</v>
      </c>
      <c r="F14" s="17" t="n">
        <f aca="false">Premissas!$B$8</f>
        <v>215</v>
      </c>
      <c r="G14" s="17" t="n">
        <f aca="false">Premissas!$B$8</f>
        <v>215</v>
      </c>
      <c r="H14" s="17" t="n">
        <f aca="false">Premissas!$B$8</f>
        <v>215</v>
      </c>
      <c r="I14" s="17" t="n">
        <f aca="false">Premissas!$B$8</f>
        <v>215</v>
      </c>
      <c r="J14" s="17" t="n">
        <f aca="false">Premissas!$B$8</f>
        <v>215</v>
      </c>
      <c r="K14" s="17" t="n">
        <f aca="false">Premissas!$B$8</f>
        <v>215</v>
      </c>
      <c r="L14" s="17" t="n">
        <f aca="false">Premissas!$B$8</f>
        <v>215</v>
      </c>
      <c r="M14" s="17" t="n">
        <f aca="false">Premissas!$B$8</f>
        <v>215</v>
      </c>
      <c r="N14" s="17" t="n">
        <f aca="false">Premissas!$B$8</f>
        <v>215</v>
      </c>
      <c r="O14" s="17" t="n">
        <f aca="false">Premissas!$B$8</f>
        <v>215</v>
      </c>
      <c r="P14" s="17" t="n">
        <f aca="false">Premissas!$B$8</f>
        <v>215</v>
      </c>
      <c r="Q14" s="17" t="n">
        <f aca="false">Premissas!$B$8</f>
        <v>215</v>
      </c>
      <c r="R14" s="17" t="n">
        <f aca="false">Premissas!$B$8</f>
        <v>215</v>
      </c>
      <c r="S14" s="17" t="n">
        <f aca="false">Premissas!$B$8</f>
        <v>215</v>
      </c>
      <c r="T14" s="17" t="n">
        <f aca="false">Premissas!$B$8</f>
        <v>215</v>
      </c>
    </row>
    <row r="15" customFormat="false" ht="15" hidden="false" customHeight="false" outlineLevel="0" collapsed="false">
      <c r="A15" s="12" t="s">
        <v>63</v>
      </c>
      <c r="B15" s="8" t="s">
        <v>64</v>
      </c>
      <c r="C15" s="13" t="n">
        <v>0</v>
      </c>
      <c r="D15" s="13" t="n">
        <v>0</v>
      </c>
      <c r="E15" s="13" t="n">
        <v>0</v>
      </c>
      <c r="F15" s="13" t="n">
        <v>2000</v>
      </c>
      <c r="G15" s="13" t="n">
        <v>2000</v>
      </c>
      <c r="H15" s="13" t="n">
        <v>2000</v>
      </c>
      <c r="I15" s="13" t="n">
        <v>3000</v>
      </c>
      <c r="J15" s="13" t="n">
        <v>3000</v>
      </c>
      <c r="K15" s="13" t="n">
        <v>3000</v>
      </c>
      <c r="L15" s="13" t="n">
        <v>4000</v>
      </c>
      <c r="M15" s="13" t="n">
        <v>4000</v>
      </c>
      <c r="N15" s="13" t="n">
        <v>4000</v>
      </c>
      <c r="O15" s="13" t="n">
        <v>5000</v>
      </c>
      <c r="P15" s="13" t="n">
        <v>5000</v>
      </c>
      <c r="Q15" s="13" t="n">
        <v>5000</v>
      </c>
      <c r="R15" s="13" t="n">
        <v>5000</v>
      </c>
      <c r="S15" s="13" t="n">
        <v>5000</v>
      </c>
      <c r="T15" s="13" t="n">
        <v>5000</v>
      </c>
    </row>
    <row r="16" customFormat="false" ht="15" hidden="false" customHeight="false" outlineLevel="0" collapsed="false">
      <c r="A16" s="12" t="s">
        <v>65</v>
      </c>
      <c r="B16" s="8" t="s">
        <v>66</v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</row>
    <row r="17" customFormat="false" ht="15" hidden="false" customHeight="false" outlineLevel="0" collapsed="false">
      <c r="A17" s="16" t="s">
        <v>67</v>
      </c>
      <c r="C17" s="14" t="n">
        <f aca="false">SUM(C12:C16)</f>
        <v>215</v>
      </c>
      <c r="D17" s="14" t="n">
        <f aca="false">SUM(D12:D16)</f>
        <v>215</v>
      </c>
      <c r="E17" s="14" t="n">
        <f aca="false">SUM(E12:E16)</f>
        <v>300</v>
      </c>
      <c r="F17" s="14" t="n">
        <f aca="false">SUM(F12:F16)</f>
        <v>2464.9</v>
      </c>
      <c r="G17" s="14" t="n">
        <f aca="false">SUM(G12:G16)</f>
        <v>2534.906</v>
      </c>
      <c r="H17" s="14" t="n">
        <f aca="false">SUM(H12:H16)</f>
        <v>2685.71164</v>
      </c>
      <c r="I17" s="14" t="n">
        <f aca="false">SUM(I12:I16)</f>
        <v>3827.4689416</v>
      </c>
      <c r="J17" s="14" t="n">
        <f aca="false">SUM(J12:J16)</f>
        <v>3960.720805104</v>
      </c>
      <c r="K17" s="14" t="n">
        <f aca="false">SUM(K12:K16)</f>
        <v>4170.97755679776</v>
      </c>
      <c r="L17" s="14" t="n">
        <f aca="false">SUM(L12:L16)</f>
        <v>5368.61890338989</v>
      </c>
      <c r="M17" s="14" t="n">
        <f aca="false">SUM(M12:M16)</f>
        <v>5554.4017691865</v>
      </c>
      <c r="N17" s="14" t="n">
        <f aca="false">SUM(N12:N16)</f>
        <v>5729.03766303531</v>
      </c>
      <c r="O17" s="14" t="n">
        <f aca="false">SUM(O12:O16)</f>
        <v>6893.19540325319</v>
      </c>
      <c r="P17" s="14" t="n">
        <f aca="false">SUM(P12:P16)</f>
        <v>7047.503679058</v>
      </c>
      <c r="Q17" s="14" t="n">
        <f aca="false">SUM(Q12:Q16)</f>
        <v>7277.55345831452</v>
      </c>
      <c r="R17" s="14" t="n">
        <f aca="false">SUM(R12:R16)</f>
        <v>7493.80025081565</v>
      </c>
      <c r="S17" s="14" t="n">
        <f aca="false">SUM(S12:S16)</f>
        <v>7697.07223576671</v>
      </c>
      <c r="T17" s="14" t="n">
        <f aca="false">SUM(T12:T16)</f>
        <v>7888.14790162071</v>
      </c>
    </row>
    <row r="19" customFormat="false" ht="15" hidden="false" customHeight="false" outlineLevel="0" collapsed="false">
      <c r="A19" s="16" t="s">
        <v>68</v>
      </c>
      <c r="B19" s="8" t="s">
        <v>69</v>
      </c>
      <c r="C19" s="14" t="n">
        <f aca="false">C10-C17</f>
        <v>-215</v>
      </c>
      <c r="D19" s="14" t="n">
        <f aca="false">D10-D17</f>
        <v>-215</v>
      </c>
      <c r="E19" s="14" t="n">
        <f aca="false">E10-E17</f>
        <v>-73</v>
      </c>
      <c r="F19" s="14" t="n">
        <f aca="false">F10-F17</f>
        <v>-1797.52</v>
      </c>
      <c r="G19" s="14" t="n">
        <f aca="false">G10-G17</f>
        <v>-1680.5688</v>
      </c>
      <c r="H19" s="14" t="n">
        <f aca="false">H10-H17</f>
        <v>-1428.634672</v>
      </c>
      <c r="I19" s="14" t="n">
        <f aca="false">I10-I17</f>
        <v>-2191.81659168</v>
      </c>
      <c r="J19" s="14" t="n">
        <f aca="false">J10-J17</f>
        <v>-1969.2075961792</v>
      </c>
      <c r="K19" s="14" t="n">
        <f aca="false">K10-K17</f>
        <v>-1617.95514040845</v>
      </c>
      <c r="L19" s="14" t="n">
        <f aca="false">L10-L17</f>
        <v>-2287.77783198394</v>
      </c>
      <c r="M19" s="14" t="n">
        <f aca="false">M10-M17</f>
        <v>-1977.4111620649</v>
      </c>
      <c r="N19" s="14" t="n">
        <f aca="false">N10-N17</f>
        <v>-1685.66649234101</v>
      </c>
      <c r="O19" s="14" t="n">
        <f aca="false">O10-O17</f>
        <v>-2411.42650280055</v>
      </c>
      <c r="P19" s="14" t="n">
        <f aca="false">P10-P17</f>
        <v>-2153.64091263252</v>
      </c>
      <c r="Q19" s="14" t="n">
        <f aca="false">Q10-Q17</f>
        <v>-1769.32245787457</v>
      </c>
      <c r="R19" s="14" t="n">
        <f aca="false">R10-R17</f>
        <v>-1408.06311040209</v>
      </c>
      <c r="S19" s="14" t="n">
        <f aca="false">S10-S17</f>
        <v>-1068.47932377797</v>
      </c>
      <c r="T19" s="14" t="n">
        <f aca="false">T10-T17</f>
        <v>-749.27056435129</v>
      </c>
    </row>
    <row r="20" customFormat="false" ht="15" hidden="false" customHeight="false" outlineLevel="0" collapsed="false">
      <c r="A20" s="12" t="s">
        <v>70</v>
      </c>
      <c r="B20" s="8" t="s">
        <v>71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</row>
    <row r="21" customFormat="false" ht="15" hidden="false" customHeight="false" outlineLevel="0" collapsed="false">
      <c r="A21" s="16" t="s">
        <v>72</v>
      </c>
      <c r="B21" s="8" t="s">
        <v>73</v>
      </c>
      <c r="C21" s="18" t="n">
        <f aca="false">Premissas!$B$10+C19+C20</f>
        <v>4785</v>
      </c>
      <c r="D21" s="18" t="n">
        <f aca="false">C21+D19+D20</f>
        <v>4570</v>
      </c>
      <c r="E21" s="18" t="n">
        <f aca="false">D21+E19+E20</f>
        <v>4497</v>
      </c>
      <c r="F21" s="18" t="n">
        <f aca="false">E21+F19+F20</f>
        <v>2699.48</v>
      </c>
      <c r="G21" s="18" t="n">
        <f aca="false">F21+G19+G20</f>
        <v>1018.9112</v>
      </c>
      <c r="H21" s="18" t="n">
        <f aca="false">G21+H19+H20</f>
        <v>-409.723472</v>
      </c>
      <c r="I21" s="18" t="n">
        <f aca="false">H21+I19+I20</f>
        <v>-2601.54006368</v>
      </c>
      <c r="J21" s="18" t="n">
        <f aca="false">I21+J19+J20</f>
        <v>-4570.7476598592</v>
      </c>
      <c r="K21" s="18" t="n">
        <f aca="false">J21+K19+K20</f>
        <v>-6188.70280026765</v>
      </c>
      <c r="L21" s="18" t="n">
        <f aca="false">K21+L19+L20</f>
        <v>-8476.48063225159</v>
      </c>
      <c r="M21" s="18" t="n">
        <f aca="false">L21+M19+M20</f>
        <v>-10453.8917943165</v>
      </c>
      <c r="N21" s="18" t="n">
        <f aca="false">M21+N19+N20</f>
        <v>-12139.5582866575</v>
      </c>
      <c r="O21" s="18" t="n">
        <f aca="false">N21+O19+O20</f>
        <v>-14550.9847894581</v>
      </c>
      <c r="P21" s="18" t="n">
        <f aca="false">O21+P19+P20</f>
        <v>-16704.6257020906</v>
      </c>
      <c r="Q21" s="18" t="n">
        <f aca="false">P21+Q19+Q20</f>
        <v>-18473.9481599651</v>
      </c>
      <c r="R21" s="18" t="n">
        <f aca="false">Q21+R19+R20</f>
        <v>-19882.0112703672</v>
      </c>
      <c r="S21" s="18" t="n">
        <f aca="false">R21+S19+S20</f>
        <v>-20950.4905941452</v>
      </c>
      <c r="T21" s="18" t="n">
        <f aca="false">S21+T19+T20</f>
        <v>-21699.7611584965</v>
      </c>
    </row>
    <row r="22" customFormat="false" ht="15" hidden="false" customHeight="false" outlineLevel="0" collapsed="false">
      <c r="A22" s="12" t="s">
        <v>74</v>
      </c>
      <c r="B22" s="8" t="s">
        <v>75</v>
      </c>
      <c r="C22" s="19" t="n">
        <f aca="false">IF(C21&lt;0,1,0)</f>
        <v>0</v>
      </c>
      <c r="D22" s="19" t="n">
        <f aca="false">IF(D21&lt;0,1,0)</f>
        <v>0</v>
      </c>
      <c r="E22" s="19" t="n">
        <f aca="false">IF(E21&lt;0,1,0)</f>
        <v>0</v>
      </c>
      <c r="F22" s="19" t="n">
        <f aca="false">IF(F21&lt;0,1,0)</f>
        <v>0</v>
      </c>
      <c r="G22" s="19" t="n">
        <f aca="false">IF(G21&lt;0,1,0)</f>
        <v>0</v>
      </c>
      <c r="H22" s="19" t="n">
        <f aca="false">IF(H21&lt;0,1,0)</f>
        <v>1</v>
      </c>
      <c r="I22" s="19" t="n">
        <f aca="false">IF(I21&lt;0,1,0)</f>
        <v>1</v>
      </c>
      <c r="J22" s="19" t="n">
        <f aca="false">IF(J21&lt;0,1,0)</f>
        <v>1</v>
      </c>
      <c r="K22" s="19" t="n">
        <f aca="false">IF(K21&lt;0,1,0)</f>
        <v>1</v>
      </c>
      <c r="L22" s="19" t="n">
        <f aca="false">IF(L21&lt;0,1,0)</f>
        <v>1</v>
      </c>
      <c r="M22" s="19" t="n">
        <f aca="false">IF(M21&lt;0,1,0)</f>
        <v>1</v>
      </c>
      <c r="N22" s="19" t="n">
        <f aca="false">IF(N21&lt;0,1,0)</f>
        <v>1</v>
      </c>
      <c r="O22" s="19" t="n">
        <f aca="false">IF(O21&lt;0,1,0)</f>
        <v>1</v>
      </c>
      <c r="P22" s="19" t="n">
        <f aca="false">IF(P21&lt;0,1,0)</f>
        <v>1</v>
      </c>
      <c r="Q22" s="19" t="n">
        <f aca="false">IF(Q21&lt;0,1,0)</f>
        <v>1</v>
      </c>
      <c r="R22" s="19" t="n">
        <f aca="false">IF(R21&lt;0,1,0)</f>
        <v>1</v>
      </c>
      <c r="S22" s="19" t="n">
        <f aca="false">IF(S21&lt;0,1,0)</f>
        <v>1</v>
      </c>
      <c r="T22" s="19" t="n">
        <f aca="false">IF(T21&lt;0,1,0)</f>
        <v>1</v>
      </c>
    </row>
    <row r="24" customFormat="false" ht="15" hidden="false" customHeight="false" outlineLevel="0" collapsed="false">
      <c r="A24" s="16" t="s">
        <v>76</v>
      </c>
      <c r="C24" s="10" t="str">
        <f aca="false">IFERROR("mês "&amp;MATCH(1,C22:T22,0),"não fica negativo nos 18 meses")</f>
        <v>mês 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"/>
    <col collapsed="false" customWidth="true" hidden="false" outlineLevel="0" max="20" min="3" style="0" width="10"/>
  </cols>
  <sheetData>
    <row r="1" customFormat="false" ht="17.35" hidden="false" customHeight="false" outlineLevel="0" collapsed="false">
      <c r="A1" s="1" t="s">
        <v>77</v>
      </c>
    </row>
    <row r="3" customFormat="false" ht="15" hidden="false" customHeight="false" outlineLevel="0" collapsed="false">
      <c r="A3" s="10" t="s">
        <v>47</v>
      </c>
      <c r="C3" s="11" t="n">
        <v>1</v>
      </c>
      <c r="D3" s="11" t="n">
        <v>2</v>
      </c>
      <c r="E3" s="11" t="n">
        <v>3</v>
      </c>
      <c r="F3" s="11" t="n">
        <v>4</v>
      </c>
      <c r="G3" s="11" t="n">
        <v>5</v>
      </c>
      <c r="H3" s="11" t="n">
        <v>6</v>
      </c>
      <c r="I3" s="11" t="n">
        <v>7</v>
      </c>
      <c r="J3" s="11" t="n">
        <v>8</v>
      </c>
      <c r="K3" s="11" t="n">
        <v>9</v>
      </c>
      <c r="L3" s="11" t="n">
        <v>10</v>
      </c>
      <c r="M3" s="11" t="n">
        <v>11</v>
      </c>
      <c r="N3" s="11" t="n">
        <v>12</v>
      </c>
      <c r="O3" s="11" t="n">
        <v>13</v>
      </c>
      <c r="P3" s="11" t="n">
        <v>14</v>
      </c>
      <c r="Q3" s="11" t="n">
        <v>15</v>
      </c>
      <c r="R3" s="11" t="n">
        <v>16</v>
      </c>
      <c r="S3" s="11" t="n">
        <v>17</v>
      </c>
      <c r="T3" s="11" t="n">
        <v>18</v>
      </c>
    </row>
    <row r="5" customFormat="false" ht="15" hidden="false" customHeight="false" outlineLevel="0" collapsed="false">
      <c r="A5" s="12" t="s">
        <v>48</v>
      </c>
      <c r="B5" s="8" t="s">
        <v>49</v>
      </c>
      <c r="C5" s="13" t="n">
        <v>0</v>
      </c>
      <c r="D5" s="13" t="n">
        <v>0</v>
      </c>
      <c r="E5" s="13" t="n">
        <v>1</v>
      </c>
      <c r="F5" s="13" t="n">
        <v>2</v>
      </c>
      <c r="G5" s="13" t="n">
        <v>2</v>
      </c>
      <c r="H5" s="13" t="n">
        <v>3</v>
      </c>
      <c r="I5" s="13" t="n">
        <v>4</v>
      </c>
      <c r="J5" s="13" t="n">
        <v>4</v>
      </c>
      <c r="K5" s="13" t="n">
        <v>5</v>
      </c>
      <c r="L5" s="13" t="n">
        <v>5</v>
      </c>
      <c r="M5" s="13" t="n">
        <v>5</v>
      </c>
      <c r="N5" s="13" t="n">
        <v>6</v>
      </c>
      <c r="O5" s="13" t="n">
        <v>6</v>
      </c>
      <c r="P5" s="13" t="n">
        <v>7</v>
      </c>
      <c r="Q5" s="13" t="n">
        <v>7</v>
      </c>
      <c r="R5" s="13" t="n">
        <v>7</v>
      </c>
      <c r="S5" s="13" t="n">
        <v>8</v>
      </c>
      <c r="T5" s="13" t="n">
        <v>8</v>
      </c>
    </row>
    <row r="6" customFormat="false" ht="15" hidden="false" customHeight="false" outlineLevel="0" collapsed="false">
      <c r="A6" s="12" t="s">
        <v>50</v>
      </c>
      <c r="B6" s="8" t="s">
        <v>51</v>
      </c>
      <c r="C6" s="14" t="n">
        <f aca="false">C5</f>
        <v>0</v>
      </c>
      <c r="D6" s="14" t="n">
        <f aca="false">C6*(1-Premissas!$B$9)+D5</f>
        <v>0</v>
      </c>
      <c r="E6" s="14" t="n">
        <f aca="false">D6*(1-Premissas!$B$9)+E5</f>
        <v>1</v>
      </c>
      <c r="F6" s="14" t="n">
        <f aca="false">E6*(1-Premissas!$B$9)+F5</f>
        <v>2.94</v>
      </c>
      <c r="G6" s="14" t="n">
        <f aca="false">F6*(1-Premissas!$B$9)+G5</f>
        <v>4.7636</v>
      </c>
      <c r="H6" s="14" t="n">
        <f aca="false">G6*(1-Premissas!$B$9)+H5</f>
        <v>7.477784</v>
      </c>
      <c r="I6" s="14" t="n">
        <f aca="false">H6*(1-Premissas!$B$9)+I5</f>
        <v>11.02911696</v>
      </c>
      <c r="J6" s="14" t="n">
        <f aca="false">I6*(1-Premissas!$B$9)+J5</f>
        <v>14.3673699424</v>
      </c>
      <c r="K6" s="14" t="n">
        <f aca="false">J6*(1-Premissas!$B$9)+K5</f>
        <v>18.505327745856</v>
      </c>
      <c r="L6" s="14" t="n">
        <f aca="false">K6*(1-Premissas!$B$9)+L5</f>
        <v>22.3950080811046</v>
      </c>
      <c r="M6" s="14" t="n">
        <f aca="false">L6*(1-Premissas!$B$9)+M5</f>
        <v>26.0513075962384</v>
      </c>
      <c r="N6" s="14" t="n">
        <f aca="false">M6*(1-Premissas!$B$9)+N5</f>
        <v>30.4882291404641</v>
      </c>
      <c r="O6" s="14" t="n">
        <f aca="false">N6*(1-Premissas!$B$9)+O5</f>
        <v>34.6589353920362</v>
      </c>
      <c r="P6" s="14" t="n">
        <f aca="false">O6*(1-Premissas!$B$9)+P5</f>
        <v>39.579399268514</v>
      </c>
      <c r="Q6" s="14" t="n">
        <f aca="false">P6*(1-Premissas!$B$9)+Q5</f>
        <v>44.2046353124032</v>
      </c>
      <c r="R6" s="14" t="n">
        <f aca="false">Q6*(1-Premissas!$B$9)+R5</f>
        <v>48.552357193659</v>
      </c>
      <c r="S6" s="14" t="n">
        <f aca="false">R6*(1-Premissas!$B$9)+S5</f>
        <v>53.6392157620395</v>
      </c>
      <c r="T6" s="14" t="n">
        <f aca="false">S6*(1-Premissas!$B$9)+T5</f>
        <v>58.4208628163171</v>
      </c>
    </row>
    <row r="8" customFormat="false" ht="15" hidden="false" customHeight="false" outlineLevel="0" collapsed="false">
      <c r="A8" s="12" t="s">
        <v>52</v>
      </c>
      <c r="B8" s="8" t="s">
        <v>53</v>
      </c>
      <c r="C8" s="15" t="n">
        <f aca="false">C6*Premissas!$B$3</f>
        <v>0</v>
      </c>
      <c r="D8" s="15" t="n">
        <f aca="false">D6*Premissas!$B$3</f>
        <v>0</v>
      </c>
      <c r="E8" s="15" t="n">
        <f aca="false">E6*Premissas!$B$3</f>
        <v>129</v>
      </c>
      <c r="F8" s="15" t="n">
        <f aca="false">F6*Premissas!$B$3</f>
        <v>379.26</v>
      </c>
      <c r="G8" s="15" t="n">
        <f aca="false">G6*Premissas!$B$3</f>
        <v>614.5044</v>
      </c>
      <c r="H8" s="15" t="n">
        <f aca="false">H6*Premissas!$B$3</f>
        <v>964.634136</v>
      </c>
      <c r="I8" s="15" t="n">
        <f aca="false">I6*Premissas!$B$3</f>
        <v>1422.75608784</v>
      </c>
      <c r="J8" s="15" t="n">
        <f aca="false">J6*Premissas!$B$3</f>
        <v>1853.3907225696</v>
      </c>
      <c r="K8" s="15" t="n">
        <f aca="false">K6*Premissas!$B$3</f>
        <v>2387.18727921542</v>
      </c>
      <c r="L8" s="15" t="n">
        <f aca="false">L6*Premissas!$B$3</f>
        <v>2888.9560424625</v>
      </c>
      <c r="M8" s="15" t="n">
        <f aca="false">M6*Premissas!$B$3</f>
        <v>3360.61867991475</v>
      </c>
      <c r="N8" s="15" t="n">
        <f aca="false">N6*Premissas!$B$3</f>
        <v>3932.98155911986</v>
      </c>
      <c r="O8" s="15" t="n">
        <f aca="false">O6*Premissas!$B$3</f>
        <v>4471.00266557267</v>
      </c>
      <c r="P8" s="15" t="n">
        <f aca="false">P6*Premissas!$B$3</f>
        <v>5105.74250563831</v>
      </c>
      <c r="Q8" s="15" t="n">
        <f aca="false">Q6*Premissas!$B$3</f>
        <v>5702.39795530001</v>
      </c>
      <c r="R8" s="15" t="n">
        <f aca="false">R6*Premissas!$B$3</f>
        <v>6263.25407798201</v>
      </c>
      <c r="S8" s="15" t="n">
        <f aca="false">S6*Premissas!$B$3</f>
        <v>6919.45883330309</v>
      </c>
      <c r="T8" s="15" t="n">
        <f aca="false">T6*Premissas!$B$3</f>
        <v>7536.2913033049</v>
      </c>
    </row>
    <row r="9" customFormat="false" ht="15" hidden="false" customHeight="false" outlineLevel="0" collapsed="false">
      <c r="A9" s="12" t="s">
        <v>54</v>
      </c>
      <c r="B9" s="8" t="s">
        <v>55</v>
      </c>
      <c r="C9" s="15" t="n">
        <f aca="false">C6*Premissas!$B$4*Premissas!$B$5</f>
        <v>0</v>
      </c>
      <c r="D9" s="15" t="n">
        <f aca="false">D6*Premissas!$B$4*Premissas!$B$5</f>
        <v>0</v>
      </c>
      <c r="E9" s="15" t="n">
        <f aca="false">E6*Premissas!$B$4*Premissas!$B$5</f>
        <v>98</v>
      </c>
      <c r="F9" s="15" t="n">
        <f aca="false">F6*Premissas!$B$4*Premissas!$B$5</f>
        <v>288.12</v>
      </c>
      <c r="G9" s="15" t="n">
        <f aca="false">G6*Premissas!$B$4*Premissas!$B$5</f>
        <v>466.8328</v>
      </c>
      <c r="H9" s="15" t="n">
        <f aca="false">H6*Premissas!$B$4*Premissas!$B$5</f>
        <v>732.822832</v>
      </c>
      <c r="I9" s="15" t="n">
        <f aca="false">I6*Premissas!$B$4*Premissas!$B$5</f>
        <v>1080.85346208</v>
      </c>
      <c r="J9" s="15" t="n">
        <f aca="false">J6*Premissas!$B$4*Premissas!$B$5</f>
        <v>1408.0022543552</v>
      </c>
      <c r="K9" s="15" t="n">
        <f aca="false">K6*Premissas!$B$4*Premissas!$B$5</f>
        <v>1813.52211909389</v>
      </c>
      <c r="L9" s="15" t="n">
        <f aca="false">L6*Premissas!$B$4*Premissas!$B$5</f>
        <v>2194.71079194825</v>
      </c>
      <c r="M9" s="15" t="n">
        <f aca="false">M6*Premissas!$B$4*Premissas!$B$5</f>
        <v>2553.02814443136</v>
      </c>
      <c r="N9" s="15" t="n">
        <f aca="false">N6*Premissas!$B$4*Premissas!$B$5</f>
        <v>2987.84645576548</v>
      </c>
      <c r="O9" s="15" t="n">
        <f aca="false">O6*Premissas!$B$4*Premissas!$B$5</f>
        <v>3396.57566841955</v>
      </c>
      <c r="P9" s="15" t="n">
        <f aca="false">P6*Premissas!$B$4*Premissas!$B$5</f>
        <v>3878.78112831438</v>
      </c>
      <c r="Q9" s="15" t="n">
        <f aca="false">Q6*Premissas!$B$4*Premissas!$B$5</f>
        <v>4332.05426061551</v>
      </c>
      <c r="R9" s="15" t="n">
        <f aca="false">R6*Premissas!$B$4*Premissas!$B$5</f>
        <v>4758.13100497858</v>
      </c>
      <c r="S9" s="15" t="n">
        <f aca="false">S6*Premissas!$B$4*Premissas!$B$5</f>
        <v>5256.64314467987</v>
      </c>
      <c r="T9" s="15" t="n">
        <f aca="false">T6*Premissas!$B$4*Premissas!$B$5</f>
        <v>5725.24455599908</v>
      </c>
    </row>
    <row r="10" customFormat="false" ht="15" hidden="false" customHeight="false" outlineLevel="0" collapsed="false">
      <c r="A10" s="16" t="s">
        <v>56</v>
      </c>
      <c r="C10" s="14" t="n">
        <f aca="false">C8+C9</f>
        <v>0</v>
      </c>
      <c r="D10" s="14" t="n">
        <f aca="false">D8+D9</f>
        <v>0</v>
      </c>
      <c r="E10" s="14" t="n">
        <f aca="false">E8+E9</f>
        <v>227</v>
      </c>
      <c r="F10" s="14" t="n">
        <f aca="false">F8+F9</f>
        <v>667.38</v>
      </c>
      <c r="G10" s="14" t="n">
        <f aca="false">G8+G9</f>
        <v>1081.3372</v>
      </c>
      <c r="H10" s="14" t="n">
        <f aca="false">H8+H9</f>
        <v>1697.456968</v>
      </c>
      <c r="I10" s="14" t="n">
        <f aca="false">I8+I9</f>
        <v>2503.60954992</v>
      </c>
      <c r="J10" s="14" t="n">
        <f aca="false">J8+J9</f>
        <v>3261.3929769248</v>
      </c>
      <c r="K10" s="14" t="n">
        <f aca="false">K8+K9</f>
        <v>4200.70939830931</v>
      </c>
      <c r="L10" s="14" t="n">
        <f aca="false">L8+L9</f>
        <v>5083.66683441075</v>
      </c>
      <c r="M10" s="14" t="n">
        <f aca="false">M8+M9</f>
        <v>5913.64682434611</v>
      </c>
      <c r="N10" s="14" t="n">
        <f aca="false">N8+N9</f>
        <v>6920.82801488534</v>
      </c>
      <c r="O10" s="14" t="n">
        <f aca="false">O8+O9</f>
        <v>7867.57833399222</v>
      </c>
      <c r="P10" s="14" t="n">
        <f aca="false">P8+P9</f>
        <v>8984.52363395269</v>
      </c>
      <c r="Q10" s="14" t="n">
        <f aca="false">Q8+Q9</f>
        <v>10034.4522159155</v>
      </c>
      <c r="R10" s="14" t="n">
        <f aca="false">R8+R9</f>
        <v>11021.3850829606</v>
      </c>
      <c r="S10" s="14" t="n">
        <f aca="false">S8+S9</f>
        <v>12176.101977983</v>
      </c>
      <c r="T10" s="14" t="n">
        <f aca="false">T8+T9</f>
        <v>13261.535859304</v>
      </c>
    </row>
    <row r="12" customFormat="false" ht="15" hidden="false" customHeight="false" outlineLevel="0" collapsed="false">
      <c r="A12" s="12" t="s">
        <v>57</v>
      </c>
      <c r="B12" s="8" t="s">
        <v>58</v>
      </c>
      <c r="C12" s="15" t="n">
        <f aca="false">C6*Premissas!$B$4*Premissas!$B$6</f>
        <v>0</v>
      </c>
      <c r="D12" s="15" t="n">
        <f aca="false">D6*Premissas!$B$4*Premissas!$B$6</f>
        <v>0</v>
      </c>
      <c r="E12" s="15" t="n">
        <f aca="false">E6*Premissas!$B$4*Premissas!$B$6</f>
        <v>70</v>
      </c>
      <c r="F12" s="15" t="n">
        <f aca="false">F6*Premissas!$B$4*Premissas!$B$6</f>
        <v>205.8</v>
      </c>
      <c r="G12" s="15" t="n">
        <f aca="false">G6*Premissas!$B$4*Premissas!$B$6</f>
        <v>333.452</v>
      </c>
      <c r="H12" s="15" t="n">
        <f aca="false">H6*Premissas!$B$4*Premissas!$B$6</f>
        <v>523.44488</v>
      </c>
      <c r="I12" s="15" t="n">
        <f aca="false">I6*Premissas!$B$4*Premissas!$B$6</f>
        <v>772.0381872</v>
      </c>
      <c r="J12" s="15" t="n">
        <f aca="false">J6*Premissas!$B$4*Premissas!$B$6</f>
        <v>1005.715895968</v>
      </c>
      <c r="K12" s="15" t="n">
        <f aca="false">K6*Premissas!$B$4*Premissas!$B$6</f>
        <v>1295.37294220992</v>
      </c>
      <c r="L12" s="15" t="n">
        <f aca="false">L6*Premissas!$B$4*Premissas!$B$6</f>
        <v>1567.65056567732</v>
      </c>
      <c r="M12" s="15" t="n">
        <f aca="false">M6*Premissas!$B$4*Premissas!$B$6</f>
        <v>1823.59153173668</v>
      </c>
      <c r="N12" s="15" t="n">
        <f aca="false">N6*Premissas!$B$4*Premissas!$B$6</f>
        <v>2134.17603983248</v>
      </c>
      <c r="O12" s="15" t="n">
        <f aca="false">O6*Premissas!$B$4*Premissas!$B$6</f>
        <v>2426.12547744253</v>
      </c>
      <c r="P12" s="15" t="n">
        <f aca="false">P6*Premissas!$B$4*Premissas!$B$6</f>
        <v>2770.55794879598</v>
      </c>
      <c r="Q12" s="15" t="n">
        <f aca="false">Q6*Premissas!$B$4*Premissas!$B$6</f>
        <v>3094.32447186822</v>
      </c>
      <c r="R12" s="15" t="n">
        <f aca="false">R6*Premissas!$B$4*Premissas!$B$6</f>
        <v>3398.66500355613</v>
      </c>
      <c r="S12" s="15" t="n">
        <f aca="false">S6*Premissas!$B$4*Premissas!$B$6</f>
        <v>3754.74510334276</v>
      </c>
      <c r="T12" s="15" t="n">
        <f aca="false">T6*Premissas!$B$4*Premissas!$B$6</f>
        <v>4089.4603971422</v>
      </c>
    </row>
    <row r="13" customFormat="false" ht="15" hidden="false" customHeight="false" outlineLevel="0" collapsed="false">
      <c r="A13" s="12" t="s">
        <v>59</v>
      </c>
      <c r="B13" s="8" t="s">
        <v>60</v>
      </c>
      <c r="C13" s="15" t="n">
        <f aca="false">C6*Premissas!$B$7</f>
        <v>0</v>
      </c>
      <c r="D13" s="15" t="n">
        <f aca="false">D6*Premissas!$B$7</f>
        <v>0</v>
      </c>
      <c r="E13" s="15" t="n">
        <f aca="false">E6*Premissas!$B$7</f>
        <v>15</v>
      </c>
      <c r="F13" s="15" t="n">
        <f aca="false">F6*Premissas!$B$7</f>
        <v>44.1</v>
      </c>
      <c r="G13" s="15" t="n">
        <f aca="false">G6*Premissas!$B$7</f>
        <v>71.454</v>
      </c>
      <c r="H13" s="15" t="n">
        <f aca="false">H6*Premissas!$B$7</f>
        <v>112.16676</v>
      </c>
      <c r="I13" s="15" t="n">
        <f aca="false">I6*Premissas!$B$7</f>
        <v>165.4367544</v>
      </c>
      <c r="J13" s="15" t="n">
        <f aca="false">J6*Premissas!$B$7</f>
        <v>215.510549136</v>
      </c>
      <c r="K13" s="15" t="n">
        <f aca="false">K6*Premissas!$B$7</f>
        <v>277.57991618784</v>
      </c>
      <c r="L13" s="15" t="n">
        <f aca="false">L6*Premissas!$B$7</f>
        <v>335.92512121657</v>
      </c>
      <c r="M13" s="15" t="n">
        <f aca="false">M6*Premissas!$B$7</f>
        <v>390.769613943575</v>
      </c>
      <c r="N13" s="15" t="n">
        <f aca="false">N6*Premissas!$B$7</f>
        <v>457.323437106961</v>
      </c>
      <c r="O13" s="15" t="n">
        <f aca="false">O6*Premissas!$B$7</f>
        <v>519.884030880543</v>
      </c>
      <c r="P13" s="15" t="n">
        <f aca="false">P6*Premissas!$B$7</f>
        <v>593.690989027711</v>
      </c>
      <c r="Q13" s="15" t="n">
        <f aca="false">Q6*Premissas!$B$7</f>
        <v>663.069529686048</v>
      </c>
      <c r="R13" s="15" t="n">
        <f aca="false">R6*Premissas!$B$7</f>
        <v>728.285357904885</v>
      </c>
      <c r="S13" s="15" t="n">
        <f aca="false">S6*Premissas!$B$7</f>
        <v>804.588236430592</v>
      </c>
      <c r="T13" s="15" t="n">
        <f aca="false">T6*Premissas!$B$7</f>
        <v>876.312942244756</v>
      </c>
    </row>
    <row r="14" customFormat="false" ht="15" hidden="false" customHeight="false" outlineLevel="0" collapsed="false">
      <c r="A14" s="12" t="s">
        <v>61</v>
      </c>
      <c r="B14" s="8" t="s">
        <v>62</v>
      </c>
      <c r="C14" s="17" t="n">
        <f aca="false">Premissas!$B$8</f>
        <v>215</v>
      </c>
      <c r="D14" s="17" t="n">
        <f aca="false">Premissas!$B$8</f>
        <v>215</v>
      </c>
      <c r="E14" s="17" t="n">
        <f aca="false">Premissas!$B$8</f>
        <v>215</v>
      </c>
      <c r="F14" s="17" t="n">
        <f aca="false">Premissas!$B$8</f>
        <v>215</v>
      </c>
      <c r="G14" s="17" t="n">
        <f aca="false">Premissas!$B$8</f>
        <v>215</v>
      </c>
      <c r="H14" s="17" t="n">
        <f aca="false">Premissas!$B$8</f>
        <v>215</v>
      </c>
      <c r="I14" s="17" t="n">
        <f aca="false">Premissas!$B$8</f>
        <v>215</v>
      </c>
      <c r="J14" s="17" t="n">
        <f aca="false">Premissas!$B$8</f>
        <v>215</v>
      </c>
      <c r="K14" s="17" t="n">
        <f aca="false">Premissas!$B$8</f>
        <v>215</v>
      </c>
      <c r="L14" s="17" t="n">
        <f aca="false">Premissas!$B$8</f>
        <v>215</v>
      </c>
      <c r="M14" s="17" t="n">
        <f aca="false">Premissas!$B$8</f>
        <v>215</v>
      </c>
      <c r="N14" s="17" t="n">
        <f aca="false">Premissas!$B$8</f>
        <v>215</v>
      </c>
      <c r="O14" s="17" t="n">
        <f aca="false">Premissas!$B$8</f>
        <v>215</v>
      </c>
      <c r="P14" s="17" t="n">
        <f aca="false">Premissas!$B$8</f>
        <v>215</v>
      </c>
      <c r="Q14" s="17" t="n">
        <f aca="false">Premissas!$B$8</f>
        <v>215</v>
      </c>
      <c r="R14" s="17" t="n">
        <f aca="false">Premissas!$B$8</f>
        <v>215</v>
      </c>
      <c r="S14" s="17" t="n">
        <f aca="false">Premissas!$B$8</f>
        <v>215</v>
      </c>
      <c r="T14" s="17" t="n">
        <f aca="false">Premissas!$B$8</f>
        <v>215</v>
      </c>
    </row>
    <row r="15" customFormat="false" ht="15" hidden="false" customHeight="false" outlineLevel="0" collapsed="false">
      <c r="A15" s="12" t="s">
        <v>63</v>
      </c>
      <c r="B15" s="8" t="s">
        <v>64</v>
      </c>
      <c r="C15" s="13" t="n">
        <v>5000</v>
      </c>
      <c r="D15" s="13" t="n">
        <v>5000</v>
      </c>
      <c r="E15" s="13" t="n">
        <v>5000</v>
      </c>
      <c r="F15" s="13" t="n">
        <v>5000</v>
      </c>
      <c r="G15" s="13" t="n">
        <v>5000</v>
      </c>
      <c r="H15" s="13" t="n">
        <v>5000</v>
      </c>
      <c r="I15" s="13" t="n">
        <v>5000</v>
      </c>
      <c r="J15" s="13" t="n">
        <v>5000</v>
      </c>
      <c r="K15" s="13" t="n">
        <v>5000</v>
      </c>
      <c r="L15" s="13" t="n">
        <v>5000</v>
      </c>
      <c r="M15" s="13" t="n">
        <v>5000</v>
      </c>
      <c r="N15" s="13" t="n">
        <v>5000</v>
      </c>
      <c r="O15" s="13" t="n">
        <v>5000</v>
      </c>
      <c r="P15" s="13" t="n">
        <v>5000</v>
      </c>
      <c r="Q15" s="13" t="n">
        <v>5000</v>
      </c>
      <c r="R15" s="13" t="n">
        <v>5000</v>
      </c>
      <c r="S15" s="13" t="n">
        <v>5000</v>
      </c>
      <c r="T15" s="13" t="n">
        <v>5000</v>
      </c>
    </row>
    <row r="16" customFormat="false" ht="15" hidden="false" customHeight="false" outlineLevel="0" collapsed="false">
      <c r="A16" s="12" t="s">
        <v>65</v>
      </c>
      <c r="B16" s="8" t="s">
        <v>66</v>
      </c>
      <c r="C16" s="13" t="n">
        <v>0</v>
      </c>
      <c r="D16" s="13" t="n">
        <v>0</v>
      </c>
      <c r="E16" s="13" t="n">
        <v>0</v>
      </c>
      <c r="F16" s="13" t="n">
        <v>4500</v>
      </c>
      <c r="G16" s="13" t="n">
        <v>4500</v>
      </c>
      <c r="H16" s="13" t="n">
        <v>4500</v>
      </c>
      <c r="I16" s="13" t="n">
        <v>4500</v>
      </c>
      <c r="J16" s="13" t="n">
        <v>4500</v>
      </c>
      <c r="K16" s="13" t="n">
        <v>4500</v>
      </c>
      <c r="L16" s="13" t="n">
        <v>4500</v>
      </c>
      <c r="M16" s="13" t="n">
        <v>4500</v>
      </c>
      <c r="N16" s="13" t="n">
        <v>4500</v>
      </c>
      <c r="O16" s="13" t="n">
        <v>4500</v>
      </c>
      <c r="P16" s="13" t="n">
        <v>4500</v>
      </c>
      <c r="Q16" s="13" t="n">
        <v>4500</v>
      </c>
      <c r="R16" s="13" t="n">
        <v>4500</v>
      </c>
      <c r="S16" s="13" t="n">
        <v>4500</v>
      </c>
      <c r="T16" s="13" t="n">
        <v>4500</v>
      </c>
    </row>
    <row r="17" customFormat="false" ht="15" hidden="false" customHeight="false" outlineLevel="0" collapsed="false">
      <c r="A17" s="16" t="s">
        <v>67</v>
      </c>
      <c r="C17" s="14" t="n">
        <f aca="false">SUM(C12:C16)</f>
        <v>5215</v>
      </c>
      <c r="D17" s="14" t="n">
        <f aca="false">SUM(D12:D16)</f>
        <v>5215</v>
      </c>
      <c r="E17" s="14" t="n">
        <f aca="false">SUM(E12:E16)</f>
        <v>5300</v>
      </c>
      <c r="F17" s="14" t="n">
        <f aca="false">SUM(F12:F16)</f>
        <v>9964.9</v>
      </c>
      <c r="G17" s="14" t="n">
        <f aca="false">SUM(G12:G16)</f>
        <v>10119.906</v>
      </c>
      <c r="H17" s="14" t="n">
        <f aca="false">SUM(H12:H16)</f>
        <v>10350.61164</v>
      </c>
      <c r="I17" s="14" t="n">
        <f aca="false">SUM(I12:I16)</f>
        <v>10652.4749416</v>
      </c>
      <c r="J17" s="14" t="n">
        <f aca="false">SUM(J12:J16)</f>
        <v>10936.226445104</v>
      </c>
      <c r="K17" s="14" t="n">
        <f aca="false">SUM(K12:K16)</f>
        <v>11287.9528583978</v>
      </c>
      <c r="L17" s="14" t="n">
        <f aca="false">SUM(L12:L16)</f>
        <v>11618.5756868939</v>
      </c>
      <c r="M17" s="14" t="n">
        <f aca="false">SUM(M12:M16)</f>
        <v>11929.3611456803</v>
      </c>
      <c r="N17" s="14" t="n">
        <f aca="false">SUM(N12:N16)</f>
        <v>12306.4994769394</v>
      </c>
      <c r="O17" s="14" t="n">
        <f aca="false">SUM(O12:O16)</f>
        <v>12661.0095083231</v>
      </c>
      <c r="P17" s="14" t="n">
        <f aca="false">SUM(P12:P16)</f>
        <v>13079.2489378237</v>
      </c>
      <c r="Q17" s="14" t="n">
        <f aca="false">SUM(Q12:Q16)</f>
        <v>13472.3940015543</v>
      </c>
      <c r="R17" s="14" t="n">
        <f aca="false">SUM(R12:R16)</f>
        <v>13841.950361461</v>
      </c>
      <c r="S17" s="14" t="n">
        <f aca="false">SUM(S12:S16)</f>
        <v>14274.3333397734</v>
      </c>
      <c r="T17" s="14" t="n">
        <f aca="false">SUM(T12:T16)</f>
        <v>14680.773339387</v>
      </c>
    </row>
    <row r="19" customFormat="false" ht="15" hidden="false" customHeight="false" outlineLevel="0" collapsed="false">
      <c r="A19" s="16" t="s">
        <v>68</v>
      </c>
      <c r="B19" s="8" t="s">
        <v>69</v>
      </c>
      <c r="C19" s="14" t="n">
        <f aca="false">C10-C17</f>
        <v>-5215</v>
      </c>
      <c r="D19" s="14" t="n">
        <f aca="false">D10-D17</f>
        <v>-5215</v>
      </c>
      <c r="E19" s="14" t="n">
        <f aca="false">E10-E17</f>
        <v>-5073</v>
      </c>
      <c r="F19" s="14" t="n">
        <f aca="false">F10-F17</f>
        <v>-9297.52</v>
      </c>
      <c r="G19" s="14" t="n">
        <f aca="false">G10-G17</f>
        <v>-9038.5688</v>
      </c>
      <c r="H19" s="14" t="n">
        <f aca="false">H10-H17</f>
        <v>-8653.154672</v>
      </c>
      <c r="I19" s="14" t="n">
        <f aca="false">I10-I17</f>
        <v>-8148.86539168</v>
      </c>
      <c r="J19" s="14" t="n">
        <f aca="false">J10-J17</f>
        <v>-7674.8334681792</v>
      </c>
      <c r="K19" s="14" t="n">
        <f aca="false">K10-K17</f>
        <v>-7087.24346008845</v>
      </c>
      <c r="L19" s="14" t="n">
        <f aca="false">L10-L17</f>
        <v>-6534.90885248314</v>
      </c>
      <c r="M19" s="14" t="n">
        <f aca="false">M10-M17</f>
        <v>-6015.71432133415</v>
      </c>
      <c r="N19" s="14" t="n">
        <f aca="false">N10-N17</f>
        <v>-5385.6714620541</v>
      </c>
      <c r="O19" s="14" t="n">
        <f aca="false">O10-O17</f>
        <v>-4793.43117433086</v>
      </c>
      <c r="P19" s="14" t="n">
        <f aca="false">P10-P17</f>
        <v>-4094.72530387101</v>
      </c>
      <c r="Q19" s="14" t="n">
        <f aca="false">Q10-Q17</f>
        <v>-3437.94178563875</v>
      </c>
      <c r="R19" s="14" t="n">
        <f aca="false">R10-R17</f>
        <v>-2820.56527850042</v>
      </c>
      <c r="S19" s="14" t="n">
        <f aca="false">S10-S17</f>
        <v>-2098.2313617904</v>
      </c>
      <c r="T19" s="14" t="n">
        <f aca="false">T10-T17</f>
        <v>-1419.23748008297</v>
      </c>
    </row>
    <row r="20" customFormat="false" ht="15" hidden="false" customHeight="false" outlineLevel="0" collapsed="false">
      <c r="A20" s="12" t="s">
        <v>70</v>
      </c>
      <c r="B20" s="8" t="s">
        <v>78</v>
      </c>
      <c r="C20" s="13" t="n">
        <v>200000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</row>
    <row r="21" customFormat="false" ht="15" hidden="false" customHeight="false" outlineLevel="0" collapsed="false">
      <c r="A21" s="16" t="s">
        <v>72</v>
      </c>
      <c r="B21" s="8" t="s">
        <v>73</v>
      </c>
      <c r="C21" s="18" t="n">
        <f aca="false">Premissas!$B$10+C19+C20</f>
        <v>199785</v>
      </c>
      <c r="D21" s="18" t="n">
        <f aca="false">C21+D19+D20</f>
        <v>194570</v>
      </c>
      <c r="E21" s="18" t="n">
        <f aca="false">D21+E19+E20</f>
        <v>189497</v>
      </c>
      <c r="F21" s="18" t="n">
        <f aca="false">E21+F19+F20</f>
        <v>180199.48</v>
      </c>
      <c r="G21" s="18" t="n">
        <f aca="false">F21+G19+G20</f>
        <v>171160.9112</v>
      </c>
      <c r="H21" s="18" t="n">
        <f aca="false">G21+H19+H20</f>
        <v>162507.756528</v>
      </c>
      <c r="I21" s="18" t="n">
        <f aca="false">H21+I19+I20</f>
        <v>154358.89113632</v>
      </c>
      <c r="J21" s="18" t="n">
        <f aca="false">I21+J19+J20</f>
        <v>146684.057668141</v>
      </c>
      <c r="K21" s="18" t="n">
        <f aca="false">J21+K19+K20</f>
        <v>139596.814208052</v>
      </c>
      <c r="L21" s="18" t="n">
        <f aca="false">K21+L19+L20</f>
        <v>133061.905355569</v>
      </c>
      <c r="M21" s="18" t="n">
        <f aca="false">L21+M19+M20</f>
        <v>127046.191034235</v>
      </c>
      <c r="N21" s="18" t="n">
        <f aca="false">M21+N19+N20</f>
        <v>121660.519572181</v>
      </c>
      <c r="O21" s="18" t="n">
        <f aca="false">N21+O19+O20</f>
        <v>116867.08839785</v>
      </c>
      <c r="P21" s="18" t="n">
        <f aca="false">O21+P19+P20</f>
        <v>112772.363093979</v>
      </c>
      <c r="Q21" s="18" t="n">
        <f aca="false">P21+Q19+Q20</f>
        <v>109334.42130834</v>
      </c>
      <c r="R21" s="18" t="n">
        <f aca="false">Q21+R19+R20</f>
        <v>106513.85602984</v>
      </c>
      <c r="S21" s="18" t="n">
        <f aca="false">R21+S19+S20</f>
        <v>104415.62466805</v>
      </c>
      <c r="T21" s="18" t="n">
        <f aca="false">S21+T19+T20</f>
        <v>102996.387187967</v>
      </c>
    </row>
    <row r="22" customFormat="false" ht="15" hidden="false" customHeight="false" outlineLevel="0" collapsed="false">
      <c r="A22" s="12" t="s">
        <v>74</v>
      </c>
      <c r="B22" s="8" t="s">
        <v>75</v>
      </c>
      <c r="C22" s="19" t="n">
        <f aca="false">IF(C21&lt;0,1,0)</f>
        <v>0</v>
      </c>
      <c r="D22" s="19" t="n">
        <f aca="false">IF(D21&lt;0,1,0)</f>
        <v>0</v>
      </c>
      <c r="E22" s="19" t="n">
        <f aca="false">IF(E21&lt;0,1,0)</f>
        <v>0</v>
      </c>
      <c r="F22" s="19" t="n">
        <f aca="false">IF(F21&lt;0,1,0)</f>
        <v>0</v>
      </c>
      <c r="G22" s="19" t="n">
        <f aca="false">IF(G21&lt;0,1,0)</f>
        <v>0</v>
      </c>
      <c r="H22" s="19" t="n">
        <f aca="false">IF(H21&lt;0,1,0)</f>
        <v>0</v>
      </c>
      <c r="I22" s="19" t="n">
        <f aca="false">IF(I21&lt;0,1,0)</f>
        <v>0</v>
      </c>
      <c r="J22" s="19" t="n">
        <f aca="false">IF(J21&lt;0,1,0)</f>
        <v>0</v>
      </c>
      <c r="K22" s="19" t="n">
        <f aca="false">IF(K21&lt;0,1,0)</f>
        <v>0</v>
      </c>
      <c r="L22" s="19" t="n">
        <f aca="false">IF(L21&lt;0,1,0)</f>
        <v>0</v>
      </c>
      <c r="M22" s="19" t="n">
        <f aca="false">IF(M21&lt;0,1,0)</f>
        <v>0</v>
      </c>
      <c r="N22" s="19" t="n">
        <f aca="false">IF(N21&lt;0,1,0)</f>
        <v>0</v>
      </c>
      <c r="O22" s="19" t="n">
        <f aca="false">IF(O21&lt;0,1,0)</f>
        <v>0</v>
      </c>
      <c r="P22" s="19" t="n">
        <f aca="false">IF(P21&lt;0,1,0)</f>
        <v>0</v>
      </c>
      <c r="Q22" s="19" t="n">
        <f aca="false">IF(Q21&lt;0,1,0)</f>
        <v>0</v>
      </c>
      <c r="R22" s="19" t="n">
        <f aca="false">IF(R21&lt;0,1,0)</f>
        <v>0</v>
      </c>
      <c r="S22" s="19" t="n">
        <f aca="false">IF(S21&lt;0,1,0)</f>
        <v>0</v>
      </c>
      <c r="T22" s="19" t="n">
        <f aca="false">IF(T21&lt;0,1,0)</f>
        <v>0</v>
      </c>
    </row>
    <row r="24" customFormat="false" ht="15" hidden="false" customHeight="false" outlineLevel="0" collapsed="false">
      <c r="A24" s="16" t="s">
        <v>76</v>
      </c>
      <c r="C24" s="10" t="str">
        <f aca="false">IFERROR("mês "&amp;MATCH(1,C22:T22,0),"não fica negativo nos 18 meses")</f>
        <v>não fica negativo nos 18 meses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79</v>
      </c>
    </row>
    <row r="3" customFormat="false" ht="15" hidden="false" customHeight="false" outlineLevel="0" collapsed="false">
      <c r="A3" s="20" t="s">
        <v>80</v>
      </c>
    </row>
    <row r="5" customFormat="false" ht="15" hidden="false" customHeight="false" outlineLevel="0" collapsed="false">
      <c r="A5" s="6" t="s">
        <v>81</v>
      </c>
      <c r="B5" s="21" t="n">
        <f aca="false">SUM(Investidor!C20:T20)</f>
        <v>200000</v>
      </c>
      <c r="C5" s="8" t="s">
        <v>82</v>
      </c>
    </row>
    <row r="6" customFormat="false" ht="15" hidden="false" customHeight="false" outlineLevel="0" collapsed="false">
      <c r="A6" s="0" t="s">
        <v>83</v>
      </c>
      <c r="B6" s="13" t="n">
        <v>4000000</v>
      </c>
      <c r="C6" s="8" t="s">
        <v>84</v>
      </c>
    </row>
    <row r="7" customFormat="false" ht="15" hidden="false" customHeight="false" outlineLevel="0" collapsed="false">
      <c r="A7" s="0" t="s">
        <v>85</v>
      </c>
      <c r="B7" s="22" t="n">
        <v>0.2</v>
      </c>
      <c r="C7" s="8" t="s">
        <v>86</v>
      </c>
    </row>
    <row r="8" customFormat="false" ht="15" hidden="false" customHeight="false" outlineLevel="0" collapsed="false">
      <c r="A8" s="0" t="s">
        <v>87</v>
      </c>
      <c r="B8" s="13" t="n">
        <v>6000000</v>
      </c>
      <c r="C8" s="8" t="s">
        <v>88</v>
      </c>
    </row>
    <row r="10" customFormat="false" ht="15" hidden="false" customHeight="false" outlineLevel="0" collapsed="false">
      <c r="A10" s="10" t="s">
        <v>89</v>
      </c>
      <c r="B10" s="23" t="n">
        <f aca="false">MIN(B6,B8*(1-B7))</f>
        <v>4000000</v>
      </c>
      <c r="C10" s="8" t="s">
        <v>90</v>
      </c>
    </row>
    <row r="11" customFormat="false" ht="15" hidden="false" customHeight="false" outlineLevel="0" collapsed="false">
      <c r="A11" s="10" t="s">
        <v>91</v>
      </c>
      <c r="B11" s="24" t="n">
        <f aca="false">B5/B10</f>
        <v>0.05</v>
      </c>
    </row>
    <row r="12" customFormat="false" ht="15" hidden="false" customHeight="false" outlineLevel="0" collapsed="false">
      <c r="A12" s="10" t="s">
        <v>92</v>
      </c>
      <c r="B12" s="24" t="n">
        <f aca="false">1-B11</f>
        <v>0.95</v>
      </c>
    </row>
    <row r="14" customFormat="false" ht="15" hidden="false" customHeight="false" outlineLevel="0" collapsed="false">
      <c r="A14" s="25" t="s">
        <v>93</v>
      </c>
    </row>
    <row r="15" customFormat="false" ht="15" hidden="false" customHeight="false" outlineLevel="0" collapsed="false">
      <c r="A15" s="26" t="s">
        <v>94</v>
      </c>
      <c r="B15" s="26" t="s">
        <v>95</v>
      </c>
      <c r="C15" s="26" t="s">
        <v>96</v>
      </c>
    </row>
    <row r="16" customFormat="false" ht="15" hidden="false" customHeight="false" outlineLevel="0" collapsed="false">
      <c r="A16" s="27" t="s">
        <v>97</v>
      </c>
      <c r="B16" s="28" t="n">
        <v>1</v>
      </c>
      <c r="C16" s="29" t="n">
        <f aca="false">B12</f>
        <v>0.95</v>
      </c>
    </row>
    <row r="17" customFormat="false" ht="15" hidden="false" customHeight="false" outlineLevel="0" collapsed="false">
      <c r="A17" s="27" t="s">
        <v>98</v>
      </c>
      <c r="B17" s="28" t="n">
        <v>0</v>
      </c>
      <c r="C17" s="29" t="n">
        <f aca="false">B11</f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26" t="s">
        <v>100</v>
      </c>
      <c r="B3" s="26" t="s">
        <v>5</v>
      </c>
      <c r="C3" s="26" t="s">
        <v>7</v>
      </c>
    </row>
    <row r="4" customFormat="false" ht="15" hidden="false" customHeight="false" outlineLevel="0" collapsed="false">
      <c r="A4" s="12" t="s">
        <v>101</v>
      </c>
      <c r="B4" s="30" t="n">
        <f aca="false">Bootstrap!N6</f>
        <v>17.8122078004154</v>
      </c>
      <c r="C4" s="30" t="n">
        <f aca="false">Investidor!N6</f>
        <v>30.4882291404641</v>
      </c>
    </row>
    <row r="5" customFormat="false" ht="15" hidden="false" customHeight="false" outlineLevel="0" collapsed="false">
      <c r="A5" s="12" t="s">
        <v>102</v>
      </c>
      <c r="B5" s="30" t="n">
        <f aca="false">Bootstrap!T6</f>
        <v>31.4487988425966</v>
      </c>
      <c r="C5" s="30" t="n">
        <f aca="false">Investidor!T6</f>
        <v>58.4208628163171</v>
      </c>
    </row>
    <row r="6" customFormat="false" ht="15" hidden="false" customHeight="false" outlineLevel="0" collapsed="false">
      <c r="A6" s="12" t="s">
        <v>103</v>
      </c>
      <c r="B6" s="21" t="n">
        <f aca="false">Bootstrap!N10</f>
        <v>4043.3711706943</v>
      </c>
      <c r="C6" s="21" t="n">
        <f aca="false">Investidor!N10</f>
        <v>6920.82801488534</v>
      </c>
    </row>
    <row r="7" customFormat="false" ht="15" hidden="false" customHeight="false" outlineLevel="0" collapsed="false">
      <c r="A7" s="12" t="s">
        <v>104</v>
      </c>
      <c r="B7" s="21" t="n">
        <f aca="false">Bootstrap!T10</f>
        <v>7138.87733726942</v>
      </c>
      <c r="C7" s="21" t="n">
        <f aca="false">Investidor!T10</f>
        <v>13261.535859304</v>
      </c>
    </row>
    <row r="8" customFormat="false" ht="15" hidden="false" customHeight="false" outlineLevel="0" collapsed="false">
      <c r="A8" s="12" t="s">
        <v>105</v>
      </c>
      <c r="B8" s="21" t="n">
        <f aca="false">Bootstrap!T19</f>
        <v>-749.27056435129</v>
      </c>
      <c r="C8" s="21" t="n">
        <f aca="false">Investidor!T19</f>
        <v>-1419.23748008297</v>
      </c>
    </row>
    <row r="9" customFormat="false" ht="15" hidden="false" customHeight="false" outlineLevel="0" collapsed="false">
      <c r="A9" s="12" t="s">
        <v>106</v>
      </c>
      <c r="B9" s="21" t="n">
        <f aca="false">Bootstrap!N21</f>
        <v>-12139.5582866575</v>
      </c>
      <c r="C9" s="21" t="n">
        <f aca="false">Investidor!N21</f>
        <v>121660.519572181</v>
      </c>
    </row>
    <row r="10" customFormat="false" ht="15" hidden="false" customHeight="false" outlineLevel="0" collapsed="false">
      <c r="A10" s="12" t="s">
        <v>107</v>
      </c>
      <c r="B10" s="21" t="n">
        <f aca="false">Bootstrap!T21</f>
        <v>-21699.7611584965</v>
      </c>
      <c r="C10" s="21" t="n">
        <f aca="false">Investidor!T21</f>
        <v>102996.387187967</v>
      </c>
    </row>
    <row r="11" customFormat="false" ht="15" hidden="false" customHeight="false" outlineLevel="0" collapsed="false">
      <c r="A11" s="12" t="s">
        <v>108</v>
      </c>
      <c r="B11" s="31" t="str">
        <f aca="false">Bootstrap!C24</f>
        <v>mês 6</v>
      </c>
      <c r="C11" s="31" t="str">
        <f aca="false">Investidor!C24</f>
        <v>não fica negativo nos 18 meses</v>
      </c>
    </row>
    <row r="13" customFormat="false" ht="60" hidden="false" customHeight="true" outlineLevel="0" collapsed="false">
      <c r="A13" s="32" t="s">
        <v>109</v>
      </c>
      <c r="B13" s="32"/>
      <c r="C13" s="32"/>
    </row>
    <row r="14" customFormat="false" ht="60" hidden="false" customHeight="true" outlineLevel="0" collapsed="false">
      <c r="A14" s="32" t="s">
        <v>110</v>
      </c>
      <c r="B14" s="32"/>
      <c r="C14" s="32"/>
    </row>
  </sheetData>
  <mergeCells count="2">
    <mergeCell ref="A13:C13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2026-07-26T19:26:34Z</dcterms:created>
  <dc:creator>openpyxl</dc:creator>
  <dc:description/>
  <dc:language>en-US</dc:language>
  <cp:lastModifiedBy/>
  <dcterms:modified xsi:type="dcterms:W3CDTF">2026-07-26T19:26:34Z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